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Beta" sheetId="4" state="visible" r:id="rId4"/>
    <sheet xmlns:r="http://schemas.openxmlformats.org/officeDocument/2006/relationships" name="Comps" sheetId="5" state="visible" r:id="rId5"/>
    <sheet xmlns:r="http://schemas.openxmlformats.org/officeDocument/2006/relationships" name="WACC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Driv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$#,##0.00"/>
    <numFmt numFmtId="166" formatCode="#,##0.0;(#,##0.0);&quot;-&quot;"/>
    <numFmt numFmtId="167" formatCode="#,##0;(#,##0);&quot;-&quot;"/>
    <numFmt numFmtId="168" formatCode="0.00%;(0.00%)"/>
    <numFmt numFmtId="169" formatCode="0.0%;(0.0%)"/>
    <numFmt numFmtId="170" formatCode="0.000"/>
    <numFmt numFmtId="171" formatCode="0.0&quot;x&quot;"/>
    <numFmt numFmtId="172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color rgb="000000CC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169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/>
    </xf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7" fontId="2" fillId="0" borderId="0" pivotButton="0" quotePrefix="0" xfId="0"/>
    <xf numFmtId="168" fontId="4" fillId="0" borderId="0" pivotButton="0" quotePrefix="0" xfId="0"/>
    <xf numFmtId="0" fontId="3" fillId="3" borderId="0" pivotButton="0" quotePrefix="0" xfId="0"/>
    <xf numFmtId="168" fontId="4" fillId="3" borderId="0" pivotButton="0" quotePrefix="0" xfId="0"/>
    <xf numFmtId="2" fontId="4" fillId="0" borderId="0" pivotButton="0" quotePrefix="0" xfId="0"/>
    <xf numFmtId="169" fontId="2" fillId="0" borderId="0" pivotButton="0" quotePrefix="0" xfId="0"/>
    <xf numFmtId="168" fontId="2" fillId="0" borderId="0" pivotButton="0" quotePrefix="0" xfId="0"/>
    <xf numFmtId="170" fontId="2" fillId="0" borderId="0" pivotButton="0" quotePrefix="0" xfId="0"/>
    <xf numFmtId="164" fontId="0" fillId="0" borderId="0" pivotButton="0" quotePrefix="0" xfId="0"/>
    <xf numFmtId="171" fontId="2" fillId="0" borderId="0" pivotButton="0" quotePrefix="0" xfId="0"/>
    <xf numFmtId="166" fontId="0" fillId="0" borderId="0" pivotButton="0" quotePrefix="0" xfId="0"/>
    <xf numFmtId="168" fontId="2" fillId="3" borderId="0" pivotButton="0" quotePrefix="0" xfId="0"/>
    <xf numFmtId="168" fontId="0" fillId="3" borderId="0" pivotButton="0" quotePrefix="0" xfId="0"/>
    <xf numFmtId="1" fontId="4" fillId="0" borderId="0" pivotButton="0" quotePrefix="0" xfId="0"/>
    <xf numFmtId="1" fontId="0" fillId="0" borderId="0" pivotButton="0" quotePrefix="0" xfId="0"/>
    <xf numFmtId="0" fontId="2" fillId="0" borderId="1" pivotButton="0" quotePrefix="0" xfId="0"/>
    <xf numFmtId="167" fontId="2" fillId="0" borderId="1" pivotButton="0" quotePrefix="0" xfId="0"/>
    <xf numFmtId="172" fontId="0" fillId="0" borderId="0" pivotButton="0" quotePrefix="0" xfId="0"/>
    <xf numFmtId="168" fontId="2" fillId="2" borderId="0" pivotButton="0" quotePrefix="0" xfId="0"/>
    <xf numFmtId="171" fontId="2" fillId="2" borderId="0" pivotButton="0" quotePrefix="0" xfId="0"/>
  </cellXfs>
  <cellStyles count="1">
    <cellStyle name="Normal" xfId="0" builtinId="0" hidden="0"/>
  </cellStyles>
  <dxfs count="1"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70" customWidth="1" min="3" max="3"/>
  </cols>
  <sheetData>
    <row r="1">
      <c r="A1" s="1" t="inlineStr">
        <is>
          <t>The TJX Companies, Inc. (TJX) - DCF valuation summary</t>
        </is>
      </c>
    </row>
    <row r="2">
      <c r="A2" t="inlineStr">
        <is>
          <t>Built from SEC EDGAR XBRL filings (CIK 0000109198). Valuation date 2026-10-27. $ millions except per-share data. Every cell below is a formula linked to the model sheets.</t>
        </is>
      </c>
    </row>
    <row r="4">
      <c r="A4" s="2" t="inlineStr">
        <is>
          <t>Value per share</t>
        </is>
      </c>
      <c r="B4" s="3" t="n"/>
      <c r="C4" s="3" t="n"/>
    </row>
    <row r="5">
      <c r="A5" s="4" t="inlineStr">
        <is>
          <t>Current share price ($)</t>
        </is>
      </c>
      <c r="B5" s="5">
        <f>'Inputs'!$B$7</f>
        <v/>
      </c>
    </row>
    <row r="6">
      <c r="A6" s="6" t="inlineStr">
        <is>
          <t>DCF - Gordon growth ($)</t>
        </is>
      </c>
      <c r="B6" s="7">
        <f>'DCF'!$B$37</f>
        <v/>
      </c>
    </row>
    <row r="7">
      <c r="A7" s="4" t="inlineStr">
        <is>
          <t xml:space="preserve">  upside / (downside) vs price</t>
        </is>
      </c>
      <c r="B7" s="8">
        <f>'Summary'!$B$6/'Summary'!$B$5-1</f>
        <v/>
      </c>
    </row>
    <row r="8">
      <c r="A8" s="9" t="inlineStr">
        <is>
          <t>DCF - exit multiple ($)</t>
        </is>
      </c>
      <c r="B8" s="10">
        <f>'DCF'!$C$37</f>
        <v/>
      </c>
    </row>
    <row r="9">
      <c r="A9" s="4" t="inlineStr">
        <is>
          <t xml:space="preserve">  upside / (downside) vs price</t>
        </is>
      </c>
      <c r="B9" s="8">
        <f>'Summary'!$B$8/'Summary'!$B$5-1</f>
        <v/>
      </c>
    </row>
    <row r="10">
      <c r="A10" s="4" t="inlineStr">
        <is>
          <t>Trading comps - median peer EV/EBITDA ($)</t>
        </is>
      </c>
      <c r="B10" s="5">
        <f>'Comps'!$F$19</f>
        <v/>
      </c>
    </row>
    <row r="11">
      <c r="A11" s="4" t="inlineStr">
        <is>
          <t>Trading comps - median peer P/E ($)</t>
        </is>
      </c>
      <c r="B11" s="5">
        <f>'Comps'!$F$20</f>
        <v/>
      </c>
    </row>
    <row r="12">
      <c r="A12" s="4" t="inlineStr">
        <is>
          <t>52-week range of closing prices ($)</t>
        </is>
      </c>
      <c r="B12">
        <f>TEXT('Inputs'!$B$9,"0.00")&amp;" - "&amp;TEXT('Inputs'!$B$10,"0.00")</f>
        <v/>
      </c>
    </row>
    <row r="14">
      <c r="A14" s="2" t="inlineStr">
        <is>
          <t>Key inputs</t>
        </is>
      </c>
      <c r="B14" s="3" t="n"/>
      <c r="C14" s="3" t="n"/>
    </row>
    <row r="15">
      <c r="A15" s="4" t="inlineStr">
        <is>
          <t>WACC</t>
        </is>
      </c>
      <c r="B15" s="11">
        <f>'WACC'!$B$25</f>
        <v/>
      </c>
    </row>
    <row r="16">
      <c r="A16" s="4" t="inlineStr">
        <is>
          <t>Cost of equity</t>
        </is>
      </c>
      <c r="B16" s="11">
        <f>'WACC'!$B$7</f>
        <v/>
      </c>
    </row>
    <row r="17">
      <c r="A17" s="4" t="inlineStr">
        <is>
          <t>Beta (5y monthly vs S&amp;P 500)</t>
        </is>
      </c>
      <c r="B17" s="12">
        <f>'Beta'!$H$4</f>
        <v/>
      </c>
    </row>
    <row r="18">
      <c r="A18" s="4" t="inlineStr">
        <is>
          <t>Risk-free rate</t>
        </is>
      </c>
      <c r="B18" s="11">
        <f>'Inputs'!$B$23</f>
        <v/>
      </c>
    </row>
    <row r="19">
      <c r="A19" s="4" t="inlineStr">
        <is>
          <t>Equity risk premium</t>
        </is>
      </c>
      <c r="B19" s="11">
        <f>'Inputs'!$B$24</f>
        <v/>
      </c>
    </row>
    <row r="20">
      <c r="A20" s="4" t="inlineStr">
        <is>
          <t>Terminal growth</t>
        </is>
      </c>
      <c r="B20" s="11">
        <f>'Inputs'!$B$25</f>
        <v/>
      </c>
    </row>
    <row r="21">
      <c r="A21" s="4" t="inlineStr">
        <is>
          <t>Exit EV/EBITDA (peer median)</t>
        </is>
      </c>
      <c r="B21" s="13">
        <f>'Comps'!$M$10</f>
        <v/>
      </c>
    </row>
    <row r="22">
      <c r="A22" s="4" t="inlineStr">
        <is>
          <t>Year-1 revenue growth</t>
        </is>
      </c>
      <c r="B22" s="11">
        <f>'Assumptions'!$B$5</f>
        <v/>
      </c>
    </row>
    <row r="23">
      <c r="A23" s="4" t="inlineStr">
        <is>
          <t>EBIT margin</t>
        </is>
      </c>
      <c r="B23" s="11">
        <f>'Assumptions'!$B$9</f>
        <v/>
      </c>
    </row>
    <row r="24">
      <c r="A24" s="4" t="inlineStr">
        <is>
          <t>Enterprise value (Gordon)</t>
        </is>
      </c>
      <c r="B24" s="14">
        <f>'DCF'!$B$31</f>
        <v/>
      </c>
    </row>
    <row r="25">
      <c r="A25" s="4" t="inlineStr">
        <is>
          <t>Terminal value share of EV (Gordon)</t>
        </is>
      </c>
      <c r="B25" s="8">
        <f>'DCF'!$B$40</f>
        <v/>
      </c>
    </row>
    <row r="27">
      <c r="A27" s="2" t="inlineStr">
        <is>
          <t>Sheets</t>
        </is>
      </c>
      <c r="B27" s="3" t="n"/>
      <c r="C27" s="3" t="n"/>
    </row>
    <row r="28">
      <c r="A28" s="4" t="inlineStr">
        <is>
          <t>Inputs</t>
        </is>
      </c>
      <c r="B28" t="inlineStr">
        <is>
          <t>market data, balance sheet, rates, rating table (sources cited)</t>
        </is>
      </c>
    </row>
    <row r="29">
      <c r="A29" s="4" t="inlineStr">
        <is>
          <t>Historicals</t>
        </is>
      </c>
      <c r="B29" t="inlineStr">
        <is>
          <t>6 fiscal years from 10-K XBRL with derived ratios</t>
        </is>
      </c>
    </row>
    <row r="30">
      <c r="A30" s="4" t="inlineStr">
        <is>
          <t>Beta</t>
        </is>
      </c>
      <c r="B30" t="inlineStr">
        <is>
          <t>60 monthly returns and the SLOPE regression</t>
        </is>
      </c>
    </row>
    <row r="31">
      <c r="A31" s="4" t="inlineStr">
        <is>
          <t>WACC</t>
        </is>
      </c>
      <c r="B31" t="inlineStr">
        <is>
          <t>CAPM cost of equity, synthetic-rating cost of debt, weights</t>
        </is>
      </c>
    </row>
    <row r="32">
      <c r="A32" s="4" t="inlineStr">
        <is>
          <t>Comps</t>
        </is>
      </c>
      <c r="B32" t="inlineStr">
        <is>
          <t>peer EV/EBITDA and P/E; sets the exit multiple</t>
        </is>
      </c>
    </row>
    <row r="33">
      <c r="A33" s="4" t="inlineStr">
        <is>
          <t>Assumptions</t>
        </is>
      </c>
      <c r="B33" t="inlineStr">
        <is>
          <t>every forecast driver, linked to its source</t>
        </is>
      </c>
    </row>
    <row r="34">
      <c r="A34" s="4" t="inlineStr">
        <is>
          <t>DCF</t>
        </is>
      </c>
      <c r="B34" t="inlineStr">
        <is>
          <t>5-year projection, discounting, both terminal values, equity bridge</t>
        </is>
      </c>
    </row>
    <row r="35">
      <c r="A35" s="4" t="inlineStr">
        <is>
          <t>Sensitivity</t>
        </is>
      </c>
      <c r="B35" t="inlineStr">
        <is>
          <t>WACC x terminal growth and WACC x exit multiple grids</t>
        </is>
      </c>
    </row>
    <row r="36">
      <c r="A36" s="4" t="inlineStr">
        <is>
          <t>Drivers</t>
        </is>
      </c>
      <c r="B36" t="inlineStr">
        <is>
          <t>one-at-a-time sensitivity (tornado) from the Python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90" customWidth="1" min="3" max="3"/>
    <col width="14" customWidth="1" min="4" max="4"/>
  </cols>
  <sheetData>
    <row r="1">
      <c r="A1" s="1" t="inlineStr">
        <is>
          <t>The TJX Companies, Inc. (TJX) - source data</t>
        </is>
      </c>
    </row>
    <row r="2">
      <c r="A2" t="inlineStr">
        <is>
          <t>Blue = hard-coded input from the cited source. $ millions unless stated.</t>
        </is>
      </c>
    </row>
    <row r="3">
      <c r="A3" s="2" t="inlineStr">
        <is>
          <t>Company and market data</t>
        </is>
      </c>
      <c r="B3" s="3" t="n"/>
      <c r="C3" s="3" t="n"/>
    </row>
    <row r="4">
      <c r="A4" s="4" t="inlineStr">
        <is>
          <t>Company</t>
        </is>
      </c>
      <c r="B4" s="15" t="inlineStr">
        <is>
          <t>The TJX Companies, Inc.</t>
        </is>
      </c>
      <c r="C4" s="16" t="inlineStr">
        <is>
          <t>SEC CIK 0000109198</t>
        </is>
      </c>
    </row>
    <row r="5">
      <c r="A5" s="4" t="inlineStr">
        <is>
          <t>Ticker</t>
        </is>
      </c>
      <c r="B5" s="15" t="inlineStr">
        <is>
          <t>TJX</t>
        </is>
      </c>
    </row>
    <row r="6">
      <c r="A6" s="4" t="inlineStr">
        <is>
          <t>Valuation date (date of share price)</t>
        </is>
      </c>
      <c r="B6" s="17" t="n">
        <v>46322</v>
      </c>
      <c r="C6" s="16" t="inlineStr">
        <is>
          <t>Yahoo Finance daily close via yfinance</t>
        </is>
      </c>
    </row>
    <row r="7">
      <c r="A7" s="4" t="inlineStr">
        <is>
          <t>Share price ($)</t>
        </is>
      </c>
      <c r="B7" s="18" t="n">
        <v>140.2</v>
      </c>
      <c r="C7" s="16" t="inlineStr">
        <is>
          <t>Yahoo Finance daily close via yfinance</t>
        </is>
      </c>
    </row>
    <row r="8">
      <c r="A8" s="4" t="inlineStr">
        <is>
          <t>Shares outstanding (m)</t>
        </is>
      </c>
      <c r="B8" s="19" t="n">
        <v>1099.974061</v>
      </c>
      <c r="C8" s="16" t="inlineStr">
        <is>
          <t>10-K/10-Q cover page, dei:EntityCommonStockSharesOutstanding as of 2026-08-21</t>
        </is>
      </c>
    </row>
    <row r="9">
      <c r="A9" s="4" t="inlineStr">
        <is>
          <t>52-week low close ($)</t>
        </is>
      </c>
      <c r="B9" s="18" t="n">
        <v>122.8399963378906</v>
      </c>
      <c r="C9" s="16" t="inlineStr">
        <is>
          <t>Yahoo Finance via yfinance</t>
        </is>
      </c>
    </row>
    <row r="10">
      <c r="A10" s="4" t="inlineStr">
        <is>
          <t>52-week high close ($)</t>
        </is>
      </c>
      <c r="B10" s="18" t="n">
        <v>168.4100036621094</v>
      </c>
      <c r="C10" s="16" t="inlineStr">
        <is>
          <t>Yahoo Finance via yfinance</t>
        </is>
      </c>
    </row>
    <row r="12">
      <c r="A12" s="2" t="inlineStr">
        <is>
          <t>Latest balance sheet (2026-08-01, most recent 10-K or 10-Q)</t>
        </is>
      </c>
      <c r="B12" s="3" t="n"/>
      <c r="C12" s="3" t="n"/>
    </row>
    <row r="13">
      <c r="A13" s="4" t="inlineStr">
        <is>
          <t>Balance sheet date</t>
        </is>
      </c>
      <c r="B13" s="17" t="n">
        <v>46235</v>
      </c>
      <c r="C13" s="16" t="inlineStr">
        <is>
          <t>SEC companyfacts</t>
        </is>
      </c>
    </row>
    <row r="14">
      <c r="A14" s="4" t="inlineStr">
        <is>
          <t>Cash and equivalents</t>
        </is>
      </c>
      <c r="B14" s="20" t="n">
        <v>6004</v>
      </c>
      <c r="C14" s="16" t="inlineStr">
        <is>
          <t>CashAndCashEquivalentsAtCarryingValue</t>
        </is>
      </c>
    </row>
    <row r="15">
      <c r="A15" s="4" t="inlineStr">
        <is>
          <t>Short-term investments</t>
        </is>
      </c>
      <c r="B15" s="20" t="n">
        <v>0</v>
      </c>
      <c r="C15" s="16" t="inlineStr">
        <is>
          <t>not reported (0)</t>
        </is>
      </c>
    </row>
    <row r="16">
      <c r="A16" s="4" t="inlineStr">
        <is>
          <t>Debt - current portion</t>
        </is>
      </c>
      <c r="B16" s="20" t="n">
        <v>1000</v>
      </c>
      <c r="C16" s="16" t="inlineStr">
        <is>
          <t>LongTermDebtCurrent</t>
        </is>
      </c>
    </row>
    <row r="17">
      <c r="A17" s="4" t="inlineStr">
        <is>
          <t>Short-term borrowings</t>
        </is>
      </c>
      <c r="B17" s="20" t="n">
        <v>0</v>
      </c>
      <c r="C17" s="16" t="inlineStr">
        <is>
          <t>not reported (0)</t>
        </is>
      </c>
    </row>
    <row r="18">
      <c r="A18" s="4" t="inlineStr">
        <is>
          <t>Debt - non-current</t>
        </is>
      </c>
      <c r="B18" s="20" t="n">
        <v>1871</v>
      </c>
      <c r="C18" s="16" t="inlineStr">
        <is>
          <t>LongTermDebtNoncurrent</t>
        </is>
      </c>
    </row>
    <row r="19">
      <c r="A19" s="9" t="inlineStr">
        <is>
          <t>Total debt</t>
        </is>
      </c>
      <c r="B19" s="21">
        <f>'Inputs'!$B$16+'Inputs'!$B$17+'Inputs'!$B$18</f>
        <v/>
      </c>
      <c r="C19" s="16" t="inlineStr">
        <is>
          <t>Operating lease liabilities excluded: lease cost is already inside EBIT</t>
        </is>
      </c>
    </row>
    <row r="20">
      <c r="A20" s="4" t="inlineStr">
        <is>
          <t>Noncontrolling interest</t>
        </is>
      </c>
      <c r="B20" s="20" t="n">
        <v>0</v>
      </c>
      <c r="C20" s="16" t="inlineStr">
        <is>
          <t>not reported (0)</t>
        </is>
      </c>
    </row>
    <row r="22">
      <c r="A22" s="2" t="inlineStr">
        <is>
          <t>Rates</t>
        </is>
      </c>
      <c r="B22" s="3" t="n"/>
      <c r="C22" s="3" t="n"/>
    </row>
    <row r="23">
      <c r="A23" s="4" t="inlineStr">
        <is>
          <t>Risk-free rate (10-year Treasury)</t>
        </is>
      </c>
      <c r="B23" s="22" t="n">
        <v>0.05</v>
      </c>
      <c r="C23" s="16" t="inlineStr">
        <is>
          <t>FRED series DGS10 (10-Year Treasury Constant Maturity), 2026-10-26</t>
        </is>
      </c>
    </row>
    <row r="24">
      <c r="A24" s="4" t="inlineStr">
        <is>
          <t>Equity risk premium</t>
        </is>
      </c>
      <c r="B24" s="22" t="n">
        <v>0.037</v>
      </c>
      <c r="C24" s="16" t="inlineStr">
        <is>
          <t>Damodaran (NYU Stern), implied ERP for the S&amp;P 500, monthly update (ERPbymonth.xlsx, 'Last 12 months data'), 2026-10-01</t>
        </is>
      </c>
    </row>
    <row r="25">
      <c r="A25" s="23" t="inlineStr">
        <is>
          <t>Terminal growth rate (choice)</t>
        </is>
      </c>
      <c r="B25" s="24" t="n">
        <v>0.025</v>
      </c>
      <c r="C25" s="16" t="inlineStr">
        <is>
          <t>Long-run nominal growth: ~2% inflation plus modest real growth; below the risk-free rate</t>
        </is>
      </c>
    </row>
    <row r="26">
      <c r="A26" s="4" t="inlineStr">
        <is>
          <t>Last reported fiscal year end</t>
        </is>
      </c>
      <c r="B26" s="17" t="n">
        <v>46053</v>
      </c>
      <c r="C26" s="16" t="inlineStr">
        <is>
          <t>Latest 10-K</t>
        </is>
      </c>
    </row>
    <row r="28">
      <c r="A28" s="2" t="inlineStr">
        <is>
          <t>Synthetic rating table (Damodaran, large non-financial firms, January 2026)</t>
        </is>
      </c>
      <c r="B28" s="3" t="n"/>
      <c r="C28" s="3" t="n"/>
    </row>
    <row r="29">
      <c r="A29" s="9" t="inlineStr">
        <is>
          <t>Coverage from</t>
        </is>
      </c>
      <c r="B29" s="9" t="inlineStr">
        <is>
          <t>Coverage to</t>
        </is>
      </c>
      <c r="C29" s="9" t="inlineStr">
        <is>
          <t>Rating</t>
        </is>
      </c>
      <c r="D29" s="9" t="inlineStr">
        <is>
          <t>Default spread</t>
        </is>
      </c>
    </row>
    <row r="30">
      <c r="A30" s="25" t="n">
        <v>-100000</v>
      </c>
      <c r="B30" s="25" t="n">
        <v>0.199999</v>
      </c>
      <c r="C30" s="15" t="inlineStr">
        <is>
          <t>D2/D</t>
        </is>
      </c>
      <c r="D30" s="22" t="n">
        <v>0.19</v>
      </c>
    </row>
    <row r="31">
      <c r="A31" s="25" t="n">
        <v>0.2</v>
      </c>
      <c r="B31" s="25" t="n">
        <v>0.649999</v>
      </c>
      <c r="C31" s="15" t="inlineStr">
        <is>
          <t>C2/C</t>
        </is>
      </c>
      <c r="D31" s="22" t="n">
        <v>0.16</v>
      </c>
    </row>
    <row r="32">
      <c r="A32" s="25" t="n">
        <v>0.65</v>
      </c>
      <c r="B32" s="25" t="n">
        <v>0.799999</v>
      </c>
      <c r="C32" s="15" t="inlineStr">
        <is>
          <t>Ca2/CC</t>
        </is>
      </c>
      <c r="D32" s="22" t="n">
        <v>0.1261</v>
      </c>
    </row>
    <row r="33">
      <c r="A33" s="25" t="n">
        <v>0.8</v>
      </c>
      <c r="B33" s="25" t="n">
        <v>1.249999</v>
      </c>
      <c r="C33" s="15" t="inlineStr">
        <is>
          <t>Caa/CCC</t>
        </is>
      </c>
      <c r="D33" s="22" t="n">
        <v>0.0885</v>
      </c>
    </row>
    <row r="34">
      <c r="A34" s="25" t="n">
        <v>1.25</v>
      </c>
      <c r="B34" s="25" t="n">
        <v>1.499999</v>
      </c>
      <c r="C34" s="15" t="inlineStr">
        <is>
          <t>B3/B-</t>
        </is>
      </c>
      <c r="D34" s="22" t="n">
        <v>0.0509</v>
      </c>
    </row>
    <row r="35">
      <c r="A35" s="25" t="n">
        <v>1.5</v>
      </c>
      <c r="B35" s="25" t="n">
        <v>1.749999</v>
      </c>
      <c r="C35" s="15" t="inlineStr">
        <is>
          <t>B2/B</t>
        </is>
      </c>
      <c r="D35" s="22" t="n">
        <v>0.0321</v>
      </c>
    </row>
    <row r="36">
      <c r="A36" s="25" t="n">
        <v>1.75</v>
      </c>
      <c r="B36" s="25" t="n">
        <v>1.999999</v>
      </c>
      <c r="C36" s="15" t="inlineStr">
        <is>
          <t>B1/B+</t>
        </is>
      </c>
      <c r="D36" s="22" t="n">
        <v>0.0275</v>
      </c>
    </row>
    <row r="37">
      <c r="A37" s="25" t="n">
        <v>2</v>
      </c>
      <c r="B37" s="25" t="n">
        <v>2.2499999</v>
      </c>
      <c r="C37" s="15" t="inlineStr">
        <is>
          <t>Ba2/BB</t>
        </is>
      </c>
      <c r="D37" s="22" t="n">
        <v>0.0184</v>
      </c>
    </row>
    <row r="38">
      <c r="A38" s="25" t="n">
        <v>2.25</v>
      </c>
      <c r="B38" s="25" t="n">
        <v>2.49999</v>
      </c>
      <c r="C38" s="15" t="inlineStr">
        <is>
          <t>Ba1/BB+</t>
        </is>
      </c>
      <c r="D38" s="22" t="n">
        <v>0.0138</v>
      </c>
    </row>
    <row r="39">
      <c r="A39" s="25" t="n">
        <v>2.5</v>
      </c>
      <c r="B39" s="25" t="n">
        <v>2.999999</v>
      </c>
      <c r="C39" s="15" t="inlineStr">
        <is>
          <t>Baa2/BBB</t>
        </is>
      </c>
      <c r="D39" s="22" t="n">
        <v>0.0111</v>
      </c>
    </row>
    <row r="40">
      <c r="A40" s="25" t="n">
        <v>3</v>
      </c>
      <c r="B40" s="25" t="n">
        <v>4.249999</v>
      </c>
      <c r="C40" s="15" t="inlineStr">
        <is>
          <t>A3/A-</t>
        </is>
      </c>
      <c r="D40" s="22" t="n">
        <v>0.0089</v>
      </c>
    </row>
    <row r="41">
      <c r="A41" s="25" t="n">
        <v>4.25</v>
      </c>
      <c r="B41" s="25" t="n">
        <v>5.499999</v>
      </c>
      <c r="C41" s="15" t="inlineStr">
        <is>
          <t>A2/A</t>
        </is>
      </c>
      <c r="D41" s="22" t="n">
        <v>0.0078</v>
      </c>
    </row>
    <row r="42">
      <c r="A42" s="25" t="n">
        <v>5.5</v>
      </c>
      <c r="B42" s="25" t="n">
        <v>6.499999</v>
      </c>
      <c r="C42" s="15" t="inlineStr">
        <is>
          <t>A1/A+</t>
        </is>
      </c>
      <c r="D42" s="22" t="n">
        <v>0.007</v>
      </c>
    </row>
    <row r="43">
      <c r="A43" s="25" t="n">
        <v>6.5</v>
      </c>
      <c r="B43" s="25" t="n">
        <v>8.499999000000001</v>
      </c>
      <c r="C43" s="15" t="inlineStr">
        <is>
          <t>Aa2/AA</t>
        </is>
      </c>
      <c r="D43" s="22" t="n">
        <v>0.0055</v>
      </c>
    </row>
    <row r="44">
      <c r="A44" s="25" t="n">
        <v>8.5</v>
      </c>
      <c r="B44" s="25" t="n">
        <v>100000</v>
      </c>
      <c r="C44" s="15" t="inlineStr">
        <is>
          <t>Aaa/AAA</t>
        </is>
      </c>
      <c r="D44" s="22" t="n">
        <v>0.004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70" customWidth="1" min="9" max="9"/>
  </cols>
  <sheetData>
    <row r="1">
      <c r="A1" s="1" t="inlineStr">
        <is>
          <t>The TJX Companies, Inc. - fiscal-year history from 10-K XBRL ($ millions)</t>
        </is>
      </c>
    </row>
    <row r="2">
      <c r="A2" t="inlineStr">
        <is>
          <t>Fiscal year = calendar year in which the year ends. Blue = as reported in XBRL; black = formula.</t>
        </is>
      </c>
    </row>
    <row r="3">
      <c r="A3" s="9" t="inlineStr">
        <is>
          <t>Line item</t>
        </is>
      </c>
      <c r="B3" s="2" t="inlineStr">
        <is>
          <t>FY2021</t>
        </is>
      </c>
      <c r="C3" s="2" t="inlineStr">
        <is>
          <t>FY2022</t>
        </is>
      </c>
      <c r="D3" s="2" t="inlineStr">
        <is>
          <t>FY2023</t>
        </is>
      </c>
      <c r="E3" s="2" t="inlineStr">
        <is>
          <t>FY2024</t>
        </is>
      </c>
      <c r="F3" s="2" t="inlineStr">
        <is>
          <t>FY2025</t>
        </is>
      </c>
      <c r="G3" s="2" t="inlineStr">
        <is>
          <t>FY2026</t>
        </is>
      </c>
      <c r="H3" s="9" t="inlineStr">
        <is>
          <t>Avg last 3</t>
        </is>
      </c>
      <c r="I3" s="9" t="inlineStr">
        <is>
          <t>XBRL tag / definition</t>
        </is>
      </c>
    </row>
    <row r="4">
      <c r="A4" t="inlineStr">
        <is>
          <t>Revenue</t>
        </is>
      </c>
      <c r="B4" s="20" t="n">
        <v>32137</v>
      </c>
      <c r="C4" s="20" t="n">
        <v>48550</v>
      </c>
      <c r="D4" s="20" t="n">
        <v>49936</v>
      </c>
      <c r="E4" s="20" t="n">
        <v>54217</v>
      </c>
      <c r="F4" s="20" t="n">
        <v>56360</v>
      </c>
      <c r="G4" s="20" t="n">
        <v>60372</v>
      </c>
      <c r="I4" t="inlineStr">
        <is>
          <t>RevenueFromContractWithCustomerIncludingAssessedTax</t>
        </is>
      </c>
    </row>
    <row r="5">
      <c r="A5" t="inlineStr">
        <is>
          <t>Operating income (reported; 0 = not tagged)</t>
        </is>
      </c>
      <c r="B5" s="20" t="n">
        <v>0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I5" t="inlineStr">
        <is>
          <t>not reported</t>
        </is>
      </c>
    </row>
    <row r="6">
      <c r="A6" t="inlineStr">
        <is>
          <t>Pre-tax income</t>
        </is>
      </c>
      <c r="B6" s="20" t="n">
        <v>89</v>
      </c>
      <c r="C6" s="20" t="n">
        <v>4398</v>
      </c>
      <c r="D6" s="20" t="n">
        <v>4636</v>
      </c>
      <c r="E6" s="20" t="n">
        <v>5967</v>
      </c>
      <c r="F6" s="20" t="n">
        <v>6483</v>
      </c>
      <c r="G6" s="20" t="n">
        <v>7299</v>
      </c>
      <c r="I6" t="inlineStr">
        <is>
          <t>IncomeLossFromContinuingOperationsBeforeIncomeTaxesExtraordinaryItemsNoncontrollingInterest</t>
        </is>
      </c>
    </row>
    <row r="7">
      <c r="A7" t="inlineStr">
        <is>
          <t>Interest expense</t>
        </is>
      </c>
      <c r="B7" s="20" t="n">
        <v>199</v>
      </c>
      <c r="C7" s="20" t="n">
        <v>123</v>
      </c>
      <c r="D7" s="20" t="n">
        <v>91</v>
      </c>
      <c r="E7" s="20" t="n">
        <v>82</v>
      </c>
      <c r="F7" s="20" t="n">
        <v>78</v>
      </c>
      <c r="G7" s="20" t="n">
        <v>79</v>
      </c>
      <c r="I7" t="inlineStr">
        <is>
          <t>InterestExpense</t>
        </is>
      </c>
    </row>
    <row r="8">
      <c r="A8" t="inlineStr">
        <is>
          <t>Interest income</t>
        </is>
      </c>
      <c r="B8" s="20" t="n">
        <v>13</v>
      </c>
      <c r="C8" s="20" t="n">
        <v>4</v>
      </c>
      <c r="D8" s="20" t="n">
        <v>78</v>
      </c>
      <c r="E8" s="20" t="n">
        <v>249</v>
      </c>
      <c r="F8" s="20" t="n">
        <v>257</v>
      </c>
      <c r="G8" s="20" t="n">
        <v>195</v>
      </c>
      <c r="I8" t="inlineStr">
        <is>
          <t>InvestmentIncomeInterest</t>
        </is>
      </c>
    </row>
    <row r="9">
      <c r="A9" t="inlineStr">
        <is>
          <t>Depreciation &amp; amortization</t>
        </is>
      </c>
      <c r="B9" s="20" t="n">
        <v>871</v>
      </c>
      <c r="C9" s="20" t="n">
        <v>868</v>
      </c>
      <c r="D9" s="20" t="n">
        <v>887</v>
      </c>
      <c r="E9" s="20" t="n">
        <v>964</v>
      </c>
      <c r="F9" s="20" t="n">
        <v>1104</v>
      </c>
      <c r="G9" s="20" t="n">
        <v>1247</v>
      </c>
      <c r="I9" t="inlineStr">
        <is>
          <t>DepreciationDepletionAndAmortization</t>
        </is>
      </c>
    </row>
    <row r="10">
      <c r="A10" t="inlineStr">
        <is>
          <t>Income tax expense</t>
        </is>
      </c>
      <c r="B10" s="20" t="n">
        <v>-1</v>
      </c>
      <c r="C10" s="20" t="n">
        <v>1115</v>
      </c>
      <c r="D10" s="20" t="n">
        <v>1138</v>
      </c>
      <c r="E10" s="20" t="n">
        <v>1493</v>
      </c>
      <c r="F10" s="20" t="n">
        <v>1619</v>
      </c>
      <c r="G10" s="20" t="n">
        <v>1805</v>
      </c>
      <c r="I10" t="inlineStr">
        <is>
          <t>IncomeTaxExpenseBenefit</t>
        </is>
      </c>
    </row>
    <row r="11">
      <c r="A11" t="inlineStr">
        <is>
          <t>Capital expenditures</t>
        </is>
      </c>
      <c r="B11" s="20" t="n">
        <v>568</v>
      </c>
      <c r="C11" s="20" t="n">
        <v>1045</v>
      </c>
      <c r="D11" s="20" t="n">
        <v>1457</v>
      </c>
      <c r="E11" s="20" t="n">
        <v>1722</v>
      </c>
      <c r="F11" s="20" t="n">
        <v>1918</v>
      </c>
      <c r="G11" s="20" t="n">
        <v>1957</v>
      </c>
      <c r="I11" t="inlineStr">
        <is>
          <t>PaymentsToAcquirePropertyPlantAndEquipment</t>
        </is>
      </c>
    </row>
    <row r="12">
      <c r="A12" t="inlineStr">
        <is>
          <t>Net income</t>
        </is>
      </c>
      <c r="B12" s="20" t="n">
        <v>90</v>
      </c>
      <c r="C12" s="20" t="n">
        <v>3283</v>
      </c>
      <c r="D12" s="20" t="n">
        <v>3498</v>
      </c>
      <c r="E12" s="20" t="n">
        <v>4474</v>
      </c>
      <c r="F12" s="20" t="n">
        <v>4864</v>
      </c>
      <c r="G12" s="20" t="n">
        <v>5494</v>
      </c>
      <c r="I12" t="inlineStr">
        <is>
          <t>NetIncomeLoss</t>
        </is>
      </c>
    </row>
    <row r="13">
      <c r="A13" t="inlineStr">
        <is>
          <t>Diluted EPS ($)</t>
        </is>
      </c>
      <c r="B13" s="18" t="n">
        <v>0.07000000000000001</v>
      </c>
      <c r="C13" s="18" t="n">
        <v>2.7</v>
      </c>
      <c r="D13" s="18" t="n">
        <v>2.97</v>
      </c>
      <c r="E13" s="18" t="n">
        <v>3.86</v>
      </c>
      <c r="F13" s="18" t="n">
        <v>4.26</v>
      </c>
      <c r="G13" s="18" t="n">
        <v>4.87</v>
      </c>
      <c r="I13" t="inlineStr">
        <is>
          <t>EarningsPerShareDiluted</t>
        </is>
      </c>
    </row>
    <row r="14">
      <c r="A14" t="inlineStr">
        <is>
          <t>Diluted weighted shares (m)</t>
        </is>
      </c>
      <c r="B14" s="19" t="n">
        <v>1215</v>
      </c>
      <c r="C14" s="19" t="n">
        <v>1216</v>
      </c>
      <c r="D14" s="19" t="n">
        <v>1178</v>
      </c>
      <c r="E14" s="19" t="n">
        <v>1159</v>
      </c>
      <c r="F14" s="19" t="n">
        <v>1142</v>
      </c>
      <c r="G14" s="19" t="n">
        <v>1128</v>
      </c>
      <c r="I14" t="inlineStr">
        <is>
          <t>WeightedAverageNumberOfDilutedSharesOutstanding</t>
        </is>
      </c>
    </row>
    <row r="15">
      <c r="A15" t="inlineStr">
        <is>
          <t>Total current assets</t>
        </is>
      </c>
      <c r="B15" s="20" t="n">
        <v>15739.337</v>
      </c>
      <c r="C15" s="20" t="n">
        <v>13259</v>
      </c>
      <c r="D15" s="20" t="n">
        <v>12456</v>
      </c>
      <c r="E15" s="20" t="n">
        <v>12664</v>
      </c>
      <c r="F15" s="20" t="n">
        <v>12991</v>
      </c>
      <c r="G15" s="20" t="n">
        <v>15202</v>
      </c>
      <c r="I15" t="inlineStr">
        <is>
          <t>AssetsCurrent</t>
        </is>
      </c>
    </row>
    <row r="16">
      <c r="A16" t="inlineStr">
        <is>
          <t>Cash and equivalents</t>
        </is>
      </c>
      <c r="B16" s="20" t="n">
        <v>10469.57</v>
      </c>
      <c r="C16" s="20" t="n">
        <v>6227</v>
      </c>
      <c r="D16" s="20" t="n">
        <v>5477</v>
      </c>
      <c r="E16" s="20" t="n">
        <v>5600</v>
      </c>
      <c r="F16" s="20" t="n">
        <v>5335</v>
      </c>
      <c r="G16" s="20" t="n">
        <v>6230</v>
      </c>
      <c r="I16" t="inlineStr">
        <is>
          <t>CashAndCashEquivalentsAtCarryingValue</t>
        </is>
      </c>
    </row>
    <row r="17">
      <c r="A17" t="inlineStr">
        <is>
          <t>Short-term investments</t>
        </is>
      </c>
      <c r="B17" s="20" t="n">
        <v>0</v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  <c r="I17" t="inlineStr">
        <is>
          <t>not reported</t>
        </is>
      </c>
    </row>
    <row r="18">
      <c r="A18" t="inlineStr">
        <is>
          <t>Total current liabilities</t>
        </is>
      </c>
      <c r="B18" s="20" t="n">
        <v>10803.668</v>
      </c>
      <c r="C18" s="20" t="n">
        <v>10468</v>
      </c>
      <c r="D18" s="20" t="n">
        <v>10305</v>
      </c>
      <c r="E18" s="20" t="n">
        <v>10451</v>
      </c>
      <c r="F18" s="20" t="n">
        <v>11008</v>
      </c>
      <c r="G18" s="20" t="n">
        <v>13361</v>
      </c>
      <c r="I18" t="inlineStr">
        <is>
          <t>LiabilitiesCurrent</t>
        </is>
      </c>
    </row>
    <row r="19">
      <c r="A19" t="inlineStr">
        <is>
          <t>Current debt</t>
        </is>
      </c>
      <c r="B19" s="20" t="n">
        <v>749.684</v>
      </c>
      <c r="C19" s="20" t="n">
        <v>0</v>
      </c>
      <c r="D19" s="20" t="n">
        <v>500</v>
      </c>
      <c r="E19" s="20" t="n">
        <v>0</v>
      </c>
      <c r="F19" s="20" t="n">
        <v>0</v>
      </c>
      <c r="G19" s="20" t="n">
        <v>999</v>
      </c>
      <c r="I19" t="inlineStr">
        <is>
          <t>LongTermDebtCurrent</t>
        </is>
      </c>
    </row>
    <row r="20">
      <c r="A20" t="inlineStr">
        <is>
          <t>Short-term borrowings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I20" t="inlineStr">
        <is>
          <t>not reported</t>
        </is>
      </c>
    </row>
    <row r="21">
      <c r="A21" t="inlineStr">
        <is>
          <t>Current operating lease liabilities</t>
        </is>
      </c>
      <c r="B21" s="20" t="n">
        <v>1677.605</v>
      </c>
      <c r="C21" s="20" t="n">
        <v>1577</v>
      </c>
      <c r="D21" s="20" t="n">
        <v>1610</v>
      </c>
      <c r="E21" s="20" t="n">
        <v>1620</v>
      </c>
      <c r="F21" s="20" t="n">
        <v>1636</v>
      </c>
      <c r="G21" s="20" t="n">
        <v>1726</v>
      </c>
      <c r="I21" t="inlineStr">
        <is>
          <t>OperatingLeaseLiabilityCurrent</t>
        </is>
      </c>
    </row>
    <row r="22">
      <c r="A22" t="inlineStr">
        <is>
          <t>Total operating lease liabilities (memo, not in net debt)</t>
        </is>
      </c>
      <c r="B22" s="20" t="n">
        <v>9420.821</v>
      </c>
      <c r="C22" s="20" t="n">
        <v>9152.151</v>
      </c>
      <c r="D22" s="20" t="n">
        <v>9385</v>
      </c>
      <c r="E22" s="20" t="n">
        <v>9680</v>
      </c>
      <c r="F22" s="20" t="n">
        <v>9912</v>
      </c>
      <c r="G22" s="20" t="n">
        <v>10620</v>
      </c>
      <c r="I22" t="inlineStr">
        <is>
          <t>OperatingLeaseLiability</t>
        </is>
      </c>
    </row>
    <row r="24">
      <c r="A24" s="9" t="inlineStr">
        <is>
          <t>Derived</t>
        </is>
      </c>
    </row>
    <row r="25">
      <c r="A25" t="inlineStr">
        <is>
          <t>EBIT</t>
        </is>
      </c>
      <c r="B25" s="14">
        <f>IF(B5&lt;&gt;0,B5,B6+B7-B8)</f>
        <v/>
      </c>
      <c r="C25" s="14">
        <f>IF(C5&lt;&gt;0,C5,C6+C7-C8)</f>
        <v/>
      </c>
      <c r="D25" s="14">
        <f>IF(D5&lt;&gt;0,D5,D6+D7-D8)</f>
        <v/>
      </c>
      <c r="E25" s="14">
        <f>IF(E5&lt;&gt;0,E5,E6+E7-E8)</f>
        <v/>
      </c>
      <c r="F25" s="14">
        <f>IF(F5&lt;&gt;0,F5,F6+F7-F8)</f>
        <v/>
      </c>
      <c r="G25" s="14">
        <f>IF(G5&lt;&gt;0,G5,G6+G7-G8)</f>
        <v/>
      </c>
      <c r="I25" t="inlineStr">
        <is>
          <t>Reported operating income; if not tagged: pre-tax + interest expense - interest income</t>
        </is>
      </c>
    </row>
    <row r="26">
      <c r="A26" t="inlineStr">
        <is>
          <t>EBITDA</t>
        </is>
      </c>
      <c r="B26" s="14">
        <f>B25+B9</f>
        <v/>
      </c>
      <c r="C26" s="14">
        <f>C25+C9</f>
        <v/>
      </c>
      <c r="D26" s="14">
        <f>D25+D9</f>
        <v/>
      </c>
      <c r="E26" s="14">
        <f>E25+E9</f>
        <v/>
      </c>
      <c r="F26" s="14">
        <f>F25+F9</f>
        <v/>
      </c>
      <c r="G26" s="14">
        <f>G25+G9</f>
        <v/>
      </c>
      <c r="I26" t="inlineStr"/>
    </row>
    <row r="27">
      <c r="A27" t="inlineStr">
        <is>
          <t>Revenue growth</t>
        </is>
      </c>
      <c r="C27" s="8">
        <f>C4/B4-1</f>
        <v/>
      </c>
      <c r="D27" s="8">
        <f>D4/C4-1</f>
        <v/>
      </c>
      <c r="E27" s="8">
        <f>E4/D4-1</f>
        <v/>
      </c>
      <c r="F27" s="8">
        <f>F4/E4-1</f>
        <v/>
      </c>
      <c r="G27" s="8">
        <f>G4/F4-1</f>
        <v/>
      </c>
      <c r="I27" t="inlineStr"/>
    </row>
    <row r="28">
      <c r="A28" t="inlineStr">
        <is>
          <t>EBIT margin</t>
        </is>
      </c>
      <c r="B28" s="8">
        <f>B25/B4</f>
        <v/>
      </c>
      <c r="C28" s="8">
        <f>C25/C4</f>
        <v/>
      </c>
      <c r="D28" s="8">
        <f>D25/D4</f>
        <v/>
      </c>
      <c r="E28" s="8">
        <f>E25/E4</f>
        <v/>
      </c>
      <c r="F28" s="8">
        <f>F25/F4</f>
        <v/>
      </c>
      <c r="G28" s="8">
        <f>G25/G4</f>
        <v/>
      </c>
      <c r="H28" s="26">
        <f>AVERAGE(E28:G28)</f>
        <v/>
      </c>
      <c r="I28" t="inlineStr"/>
    </row>
    <row r="29">
      <c r="A29" t="inlineStr">
        <is>
          <t>Effective tax rate</t>
        </is>
      </c>
      <c r="B29" s="8">
        <f>B10/B6</f>
        <v/>
      </c>
      <c r="C29" s="8">
        <f>C10/C6</f>
        <v/>
      </c>
      <c r="D29" s="8">
        <f>D10/D6</f>
        <v/>
      </c>
      <c r="E29" s="8">
        <f>E10/E6</f>
        <v/>
      </c>
      <c r="F29" s="8">
        <f>F10/F6</f>
        <v/>
      </c>
      <c r="G29" s="8">
        <f>G10/G6</f>
        <v/>
      </c>
      <c r="H29" s="26">
        <f>AVERAGE(E29:G29)</f>
        <v/>
      </c>
      <c r="I29" t="inlineStr"/>
    </row>
    <row r="30">
      <c r="A30" t="inlineStr">
        <is>
          <t>D&amp;A % of revenue</t>
        </is>
      </c>
      <c r="B30" s="11">
        <f>B9/B4</f>
        <v/>
      </c>
      <c r="C30" s="11">
        <f>C9/C4</f>
        <v/>
      </c>
      <c r="D30" s="11">
        <f>D9/D4</f>
        <v/>
      </c>
      <c r="E30" s="11">
        <f>E9/E4</f>
        <v/>
      </c>
      <c r="F30" s="11">
        <f>F9/F4</f>
        <v/>
      </c>
      <c r="G30" s="11">
        <f>G9/G4</f>
        <v/>
      </c>
      <c r="H30" s="27">
        <f>AVERAGE(E30:G30)</f>
        <v/>
      </c>
      <c r="I30" t="inlineStr"/>
    </row>
    <row r="31">
      <c r="A31" t="inlineStr">
        <is>
          <t>Capex % of revenue</t>
        </is>
      </c>
      <c r="B31" s="11">
        <f>B11/B4</f>
        <v/>
      </c>
      <c r="C31" s="11">
        <f>C11/C4</f>
        <v/>
      </c>
      <c r="D31" s="11">
        <f>D11/D4</f>
        <v/>
      </c>
      <c r="E31" s="11">
        <f>E11/E4</f>
        <v/>
      </c>
      <c r="F31" s="11">
        <f>F11/F4</f>
        <v/>
      </c>
      <c r="G31" s="11">
        <f>G11/G4</f>
        <v/>
      </c>
      <c r="H31" s="27">
        <f>AVERAGE(E31:G31)</f>
        <v/>
      </c>
      <c r="I31" t="inlineStr"/>
    </row>
    <row r="32">
      <c r="A32" t="inlineStr">
        <is>
          <t>Net working capital (operating)</t>
        </is>
      </c>
      <c r="B32" s="14">
        <f>(B15-B16-B17)-(B18-B19-B20-B21)</f>
        <v/>
      </c>
      <c r="C32" s="14">
        <f>(C15-C16-C17)-(C18-C19-C20-C21)</f>
        <v/>
      </c>
      <c r="D32" s="14">
        <f>(D15-D16-D17)-(D18-D19-D20-D21)</f>
        <v/>
      </c>
      <c r="E32" s="14">
        <f>(E15-E16-E17)-(E18-E19-E20-E21)</f>
        <v/>
      </c>
      <c r="F32" s="14">
        <f>(F15-F16-F17)-(F18-F19-F20-F21)</f>
        <v/>
      </c>
      <c r="G32" s="14">
        <f>(G15-G16-G17)-(G18-G19-G20-G21)</f>
        <v/>
      </c>
      <c r="I32" t="inlineStr">
        <is>
          <t>(current assets - cash - ST investments) - (current liabilities - current debt - ST borrowings - current lease liabilities)</t>
        </is>
      </c>
    </row>
    <row r="33">
      <c r="A33" t="inlineStr">
        <is>
          <t>NWC % of revenue</t>
        </is>
      </c>
      <c r="B33" s="11">
        <f>B32/B4</f>
        <v/>
      </c>
      <c r="C33" s="11">
        <f>C32/C4</f>
        <v/>
      </c>
      <c r="D33" s="11">
        <f>D32/D4</f>
        <v/>
      </c>
      <c r="E33" s="11">
        <f>E32/E4</f>
        <v/>
      </c>
      <c r="F33" s="11">
        <f>F32/F4</f>
        <v/>
      </c>
      <c r="G33" s="11">
        <f>G32/G4</f>
        <v/>
      </c>
      <c r="H33" s="27">
        <f>AVERAGE(E33:G33)</f>
        <v/>
      </c>
      <c r="I33" t="inlineStr"/>
    </row>
    <row r="34">
      <c r="A34" t="inlineStr">
        <is>
          <t>Unlevered free cash flow (historical, for reference)</t>
        </is>
      </c>
      <c r="C34" s="14">
        <f>C25*(1-C29)+C9-C11-(C32-B32)</f>
        <v/>
      </c>
      <c r="D34" s="14">
        <f>D25*(1-D29)+D9-D11-(D32-C32)</f>
        <v/>
      </c>
      <c r="E34" s="14">
        <f>E25*(1-E29)+E9-E11-(E32-D32)</f>
        <v/>
      </c>
      <c r="F34" s="14">
        <f>F25*(1-F29)+F9-F11-(F32-E32)</f>
        <v/>
      </c>
      <c r="G34" s="14">
        <f>G25*(1-G29)+G9-G11-(G32-F32)</f>
        <v/>
      </c>
      <c r="I34" t="inlineStr">
        <is>
          <t>EBIT x (1 - tax) + D&amp;A - capex - change in NWC</t>
        </is>
      </c>
    </row>
    <row r="36">
      <c r="A36" t="inlineStr">
        <is>
          <t>Note: The company does not tag an operating-income line for some years; EBIT is rebuilt as pre-tax income + interest expense - interest income.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3" customWidth="1" min="6" max="6"/>
    <col width="52" customWidth="1" min="7" max="7"/>
    <col width="10" customWidth="1" min="8" max="8"/>
  </cols>
  <sheetData>
    <row r="1">
      <c r="A1" s="1" t="inlineStr">
        <is>
          <t>Beta: TJX vs S&amp;P 500, monthly returns</t>
        </is>
      </c>
    </row>
    <row r="2">
      <c r="A2" t="inlineStr">
        <is>
          <t>Adjusted month-end closes (Yahoo Finance via yfinance; index = ^GSPC). Beta = SLOPE of stock returns on index returns.</t>
        </is>
      </c>
    </row>
    <row r="4">
      <c r="A4" s="9" t="inlineStr">
        <is>
          <t>Month</t>
        </is>
      </c>
      <c r="B4" s="9" t="inlineStr">
        <is>
          <t>TJX adj. close</t>
        </is>
      </c>
      <c r="C4" s="9" t="inlineStr">
        <is>
          <t>S&amp;P 500</t>
        </is>
      </c>
      <c r="D4" s="9" t="inlineStr">
        <is>
          <t>TJX return</t>
        </is>
      </c>
      <c r="E4" s="9" t="inlineStr">
        <is>
          <t>S&amp;P 500 return</t>
        </is>
      </c>
      <c r="G4" t="inlineStr">
        <is>
          <t>Beta (SLOPE)</t>
        </is>
      </c>
      <c r="H4" s="28">
        <f>SLOPE(D6:D65,E6:E65)</f>
        <v/>
      </c>
    </row>
    <row r="5">
      <c r="A5" s="29" t="n">
        <v>44440</v>
      </c>
      <c r="B5" s="25" t="n">
        <v>61.37674713134766</v>
      </c>
      <c r="C5" s="25" t="n">
        <v>4307.5400390625</v>
      </c>
      <c r="G5" t="inlineStr">
        <is>
          <t>R-squared</t>
        </is>
      </c>
      <c r="H5" s="12">
        <f>RSQ(D6:D65,E6:E65)</f>
        <v/>
      </c>
    </row>
    <row r="6">
      <c r="A6" s="29" t="n">
        <v>44470</v>
      </c>
      <c r="B6" s="25" t="n">
        <v>60.92091751098633</v>
      </c>
      <c r="C6" s="25" t="n">
        <v>4605.3798828125</v>
      </c>
      <c r="D6" s="11">
        <f>B6/B5-1</f>
        <v/>
      </c>
      <c r="E6" s="11">
        <f>C6/C5-1</f>
        <v/>
      </c>
      <c r="G6" t="inlineStr">
        <is>
          <t>Observations</t>
        </is>
      </c>
      <c r="H6">
        <f>COUNT(D6:D65)</f>
        <v/>
      </c>
    </row>
    <row r="7">
      <c r="A7" s="29" t="n">
        <v>44501</v>
      </c>
      <c r="B7" s="25" t="n">
        <v>64.79918670654297</v>
      </c>
      <c r="C7" s="25" t="n">
        <v>4567</v>
      </c>
      <c r="D7" s="11">
        <f>B7/B6-1</f>
        <v/>
      </c>
      <c r="E7" s="11">
        <f>C7/C6-1</f>
        <v/>
      </c>
      <c r="G7" t="inlineStr">
        <is>
          <t>Blume-adjusted beta (0.67 x raw + 0.33), for reference only</t>
        </is>
      </c>
      <c r="H7" s="12">
        <f>0.67*H4+0.33</f>
        <v/>
      </c>
    </row>
    <row r="8">
      <c r="A8" s="29" t="n">
        <v>44531</v>
      </c>
      <c r="B8" s="25" t="n">
        <v>70.88695526123047</v>
      </c>
      <c r="C8" s="25" t="n">
        <v>4766.18017578125</v>
      </c>
      <c r="D8" s="11">
        <f>B8/B7-1</f>
        <v/>
      </c>
      <c r="E8" s="11">
        <f>C8/C7-1</f>
        <v/>
      </c>
    </row>
    <row r="9">
      <c r="A9" s="29" t="n">
        <v>44562</v>
      </c>
      <c r="B9" s="25" t="n">
        <v>67.19881439208984</v>
      </c>
      <c r="C9" s="25" t="n">
        <v>4515.5498046875</v>
      </c>
      <c r="D9" s="11">
        <f>B9/B8-1</f>
        <v/>
      </c>
      <c r="E9" s="11">
        <f>C9/C8-1</f>
        <v/>
      </c>
    </row>
    <row r="10">
      <c r="A10" s="29" t="n">
        <v>44593</v>
      </c>
      <c r="B10" s="25" t="n">
        <v>61.94661712646484</v>
      </c>
      <c r="C10" s="25" t="n">
        <v>4373.93994140625</v>
      </c>
      <c r="D10" s="11">
        <f>B10/B9-1</f>
        <v/>
      </c>
      <c r="E10" s="11">
        <f>C10/C9-1</f>
        <v/>
      </c>
    </row>
    <row r="11">
      <c r="A11" s="29" t="n">
        <v>44621</v>
      </c>
      <c r="B11" s="25" t="n">
        <v>56.77346038818359</v>
      </c>
      <c r="C11" s="25" t="n">
        <v>4530.41015625</v>
      </c>
      <c r="D11" s="11">
        <f>B11/B10-1</f>
        <v/>
      </c>
      <c r="E11" s="11">
        <f>C11/C10-1</f>
        <v/>
      </c>
    </row>
    <row r="12">
      <c r="A12" s="29" t="n">
        <v>44652</v>
      </c>
      <c r="B12" s="25" t="n">
        <v>57.42948150634766</v>
      </c>
      <c r="C12" s="25" t="n">
        <v>4131.93017578125</v>
      </c>
      <c r="D12" s="11">
        <f>B12/B11-1</f>
        <v/>
      </c>
      <c r="E12" s="11">
        <f>C12/C11-1</f>
        <v/>
      </c>
    </row>
    <row r="13">
      <c r="A13" s="29" t="n">
        <v>44682</v>
      </c>
      <c r="B13" s="25" t="n">
        <v>59.88996124267578</v>
      </c>
      <c r="C13" s="25" t="n">
        <v>4132.14990234375</v>
      </c>
      <c r="D13" s="11">
        <f>B13/B12-1</f>
        <v/>
      </c>
      <c r="E13" s="11">
        <f>C13/C12-1</f>
        <v/>
      </c>
    </row>
    <row r="14">
      <c r="A14" s="29" t="n">
        <v>44713</v>
      </c>
      <c r="B14" s="25" t="n">
        <v>52.61686325073242</v>
      </c>
      <c r="C14" s="25" t="n">
        <v>3785.3798828125</v>
      </c>
      <c r="D14" s="11">
        <f>B14/B13-1</f>
        <v/>
      </c>
      <c r="E14" s="11">
        <f>C14/C13-1</f>
        <v/>
      </c>
    </row>
    <row r="15">
      <c r="A15" s="29" t="n">
        <v>44743</v>
      </c>
      <c r="B15" s="25" t="n">
        <v>57.61947250366211</v>
      </c>
      <c r="C15" s="25" t="n">
        <v>4130.2900390625</v>
      </c>
      <c r="D15" s="11">
        <f>B15/B14-1</f>
        <v/>
      </c>
      <c r="E15" s="11">
        <f>C15/C14-1</f>
        <v/>
      </c>
    </row>
    <row r="16">
      <c r="A16" s="29" t="n">
        <v>44774</v>
      </c>
      <c r="B16" s="25" t="n">
        <v>59.01826095581055</v>
      </c>
      <c r="C16" s="25" t="n">
        <v>3955</v>
      </c>
      <c r="D16" s="11">
        <f>B16/B15-1</f>
        <v/>
      </c>
      <c r="E16" s="11">
        <f>C16/C15-1</f>
        <v/>
      </c>
    </row>
    <row r="17">
      <c r="A17" s="29" t="n">
        <v>44805</v>
      </c>
      <c r="B17" s="25" t="n">
        <v>58.80054473876953</v>
      </c>
      <c r="C17" s="25" t="n">
        <v>3585.6201171875</v>
      </c>
      <c r="D17" s="11">
        <f>B17/B16-1</f>
        <v/>
      </c>
      <c r="E17" s="11">
        <f>C17/C16-1</f>
        <v/>
      </c>
    </row>
    <row r="18">
      <c r="A18" s="29" t="n">
        <v>44835</v>
      </c>
      <c r="B18" s="25" t="n">
        <v>68.24724578857422</v>
      </c>
      <c r="C18" s="25" t="n">
        <v>3871.97998046875</v>
      </c>
      <c r="D18" s="11">
        <f>B18/B17-1</f>
        <v/>
      </c>
      <c r="E18" s="11">
        <f>C18/C17-1</f>
        <v/>
      </c>
    </row>
    <row r="19">
      <c r="A19" s="29" t="n">
        <v>44866</v>
      </c>
      <c r="B19" s="25" t="n">
        <v>76.08640289306641</v>
      </c>
      <c r="C19" s="25" t="n">
        <v>4080.110107421875</v>
      </c>
      <c r="D19" s="11">
        <f>B19/B18-1</f>
        <v/>
      </c>
      <c r="E19" s="11">
        <f>C19/C18-1</f>
        <v/>
      </c>
    </row>
    <row r="20">
      <c r="A20" s="29" t="n">
        <v>44896</v>
      </c>
      <c r="B20" s="25" t="n">
        <v>75.65868377685547</v>
      </c>
      <c r="C20" s="25" t="n">
        <v>3839.5</v>
      </c>
      <c r="D20" s="11">
        <f>B20/B19-1</f>
        <v/>
      </c>
      <c r="E20" s="11">
        <f>C20/C19-1</f>
        <v/>
      </c>
    </row>
    <row r="21">
      <c r="A21" s="29" t="n">
        <v>44927</v>
      </c>
      <c r="B21" s="25" t="n">
        <v>77.80677795410156</v>
      </c>
      <c r="C21" s="25" t="n">
        <v>4076.60009765625</v>
      </c>
      <c r="D21" s="11">
        <f>B21/B20-1</f>
        <v/>
      </c>
      <c r="E21" s="11">
        <f>C21/C20-1</f>
        <v/>
      </c>
    </row>
    <row r="22">
      <c r="A22" s="29" t="n">
        <v>44958</v>
      </c>
      <c r="B22" s="25" t="n">
        <v>73.07717132568359</v>
      </c>
      <c r="C22" s="25" t="n">
        <v>3970.14990234375</v>
      </c>
      <c r="D22" s="11">
        <f>B22/B21-1</f>
        <v/>
      </c>
      <c r="E22" s="11">
        <f>C22/C21-1</f>
        <v/>
      </c>
    </row>
    <row r="23">
      <c r="A23" s="29" t="n">
        <v>44986</v>
      </c>
      <c r="B23" s="25" t="n">
        <v>74.75621795654297</v>
      </c>
      <c r="C23" s="25" t="n">
        <v>4109.31005859375</v>
      </c>
      <c r="D23" s="11">
        <f>B23/B22-1</f>
        <v/>
      </c>
      <c r="E23" s="11">
        <f>C23/C22-1</f>
        <v/>
      </c>
    </row>
    <row r="24">
      <c r="A24" s="29" t="n">
        <v>45017</v>
      </c>
      <c r="B24" s="25" t="n">
        <v>75.19508361816406</v>
      </c>
      <c r="C24" s="25" t="n">
        <v>4169.47998046875</v>
      </c>
      <c r="D24" s="11">
        <f>B24/B23-1</f>
        <v/>
      </c>
      <c r="E24" s="11">
        <f>C24/C23-1</f>
        <v/>
      </c>
    </row>
    <row r="25">
      <c r="A25" s="29" t="n">
        <v>45047</v>
      </c>
      <c r="B25" s="25" t="n">
        <v>73.57017517089844</v>
      </c>
      <c r="C25" s="25" t="n">
        <v>4179.830078125</v>
      </c>
      <c r="D25" s="11">
        <f>B25/B24-1</f>
        <v/>
      </c>
      <c r="E25" s="11">
        <f>C25/C24-1</f>
        <v/>
      </c>
    </row>
    <row r="26">
      <c r="A26" s="29" t="n">
        <v>45078</v>
      </c>
      <c r="B26" s="25" t="n">
        <v>81.23471832275391</v>
      </c>
      <c r="C26" s="25" t="n">
        <v>4450.3798828125</v>
      </c>
      <c r="D26" s="11">
        <f>B26/B25-1</f>
        <v/>
      </c>
      <c r="E26" s="11">
        <f>C26/C25-1</f>
        <v/>
      </c>
    </row>
    <row r="27">
      <c r="A27" s="29" t="n">
        <v>45108</v>
      </c>
      <c r="B27" s="25" t="n">
        <v>82.90175628662109</v>
      </c>
      <c r="C27" s="25" t="n">
        <v>4588.9599609375</v>
      </c>
      <c r="D27" s="11">
        <f>B27/B26-1</f>
        <v/>
      </c>
      <c r="E27" s="11">
        <f>C27/C26-1</f>
        <v/>
      </c>
    </row>
    <row r="28">
      <c r="A28" s="29" t="n">
        <v>45139</v>
      </c>
      <c r="B28" s="25" t="n">
        <v>88.94435882568359</v>
      </c>
      <c r="C28" s="25" t="n">
        <v>4507.66015625</v>
      </c>
      <c r="D28" s="11">
        <f>B28/B27-1</f>
        <v/>
      </c>
      <c r="E28" s="11">
        <f>C28/C27-1</f>
        <v/>
      </c>
    </row>
    <row r="29">
      <c r="A29" s="29" t="n">
        <v>45170</v>
      </c>
      <c r="B29" s="25" t="n">
        <v>85.48198699951172</v>
      </c>
      <c r="C29" s="25" t="n">
        <v>4288.0498046875</v>
      </c>
      <c r="D29" s="11">
        <f>B29/B28-1</f>
        <v/>
      </c>
      <c r="E29" s="11">
        <f>C29/C28-1</f>
        <v/>
      </c>
    </row>
    <row r="30">
      <c r="A30" s="29" t="n">
        <v>45200</v>
      </c>
      <c r="B30" s="25" t="n">
        <v>84.70296478271484</v>
      </c>
      <c r="C30" s="25" t="n">
        <v>4193.7998046875</v>
      </c>
      <c r="D30" s="11">
        <f>B30/B29-1</f>
        <v/>
      </c>
      <c r="E30" s="11">
        <f>C30/C29-1</f>
        <v/>
      </c>
    </row>
    <row r="31">
      <c r="A31" s="29" t="n">
        <v>45231</v>
      </c>
      <c r="B31" s="25" t="n">
        <v>85.05347442626953</v>
      </c>
      <c r="C31" s="25" t="n">
        <v>4567.7998046875</v>
      </c>
      <c r="D31" s="11">
        <f>B31/B30-1</f>
        <v/>
      </c>
      <c r="E31" s="11">
        <f>C31/C30-1</f>
        <v/>
      </c>
    </row>
    <row r="32">
      <c r="A32" s="29" t="n">
        <v>45261</v>
      </c>
      <c r="B32" s="25" t="n">
        <v>90.55573272705078</v>
      </c>
      <c r="C32" s="25" t="n">
        <v>4769.830078125</v>
      </c>
      <c r="D32" s="11">
        <f>B32/B31-1</f>
        <v/>
      </c>
      <c r="E32" s="11">
        <f>C32/C31-1</f>
        <v/>
      </c>
    </row>
    <row r="33">
      <c r="A33" s="29" t="n">
        <v>45292</v>
      </c>
      <c r="B33" s="25" t="n">
        <v>91.61758422851562</v>
      </c>
      <c r="C33" s="25" t="n">
        <v>4845.64990234375</v>
      </c>
      <c r="D33" s="11">
        <f>B33/B32-1</f>
        <v/>
      </c>
      <c r="E33" s="11">
        <f>C33/C32-1</f>
        <v/>
      </c>
    </row>
    <row r="34">
      <c r="A34" s="29" t="n">
        <v>45323</v>
      </c>
      <c r="B34" s="25" t="n">
        <v>96.02726745605469</v>
      </c>
      <c r="C34" s="25" t="n">
        <v>5096.27001953125</v>
      </c>
      <c r="D34" s="11">
        <f>B34/B33-1</f>
        <v/>
      </c>
      <c r="E34" s="11">
        <f>C34/C33-1</f>
        <v/>
      </c>
    </row>
    <row r="35">
      <c r="A35" s="29" t="n">
        <v>45352</v>
      </c>
      <c r="B35" s="25" t="n">
        <v>98.23567962646484</v>
      </c>
      <c r="C35" s="25" t="n">
        <v>5254.35009765625</v>
      </c>
      <c r="D35" s="11">
        <f>B35/B34-1</f>
        <v/>
      </c>
      <c r="E35" s="11">
        <f>C35/C34-1</f>
        <v/>
      </c>
    </row>
    <row r="36">
      <c r="A36" s="29" t="n">
        <v>45383</v>
      </c>
      <c r="B36" s="25" t="n">
        <v>91.13581848144531</v>
      </c>
      <c r="C36" s="25" t="n">
        <v>5035.68994140625</v>
      </c>
      <c r="D36" s="11">
        <f>B36/B35-1</f>
        <v/>
      </c>
      <c r="E36" s="11">
        <f>C36/C35-1</f>
        <v/>
      </c>
    </row>
    <row r="37">
      <c r="A37" s="29" t="n">
        <v>45413</v>
      </c>
      <c r="B37" s="25" t="n">
        <v>100.2424774169922</v>
      </c>
      <c r="C37" s="25" t="n">
        <v>5277.509765625</v>
      </c>
      <c r="D37" s="11">
        <f>B37/B36-1</f>
        <v/>
      </c>
      <c r="E37" s="11">
        <f>C37/C36-1</f>
        <v/>
      </c>
    </row>
    <row r="38">
      <c r="A38" s="29" t="n">
        <v>45444</v>
      </c>
      <c r="B38" s="25" t="n">
        <v>107.048469543457</v>
      </c>
      <c r="C38" s="25" t="n">
        <v>5460.47998046875</v>
      </c>
      <c r="D38" s="11">
        <f>B38/B37-1</f>
        <v/>
      </c>
      <c r="E38" s="11">
        <f>C38/C37-1</f>
        <v/>
      </c>
    </row>
    <row r="39">
      <c r="A39" s="29" t="n">
        <v>45474</v>
      </c>
      <c r="B39" s="25" t="n">
        <v>109.8875503540039</v>
      </c>
      <c r="C39" s="25" t="n">
        <v>5522.2998046875</v>
      </c>
      <c r="D39" s="11">
        <f>B39/B38-1</f>
        <v/>
      </c>
      <c r="E39" s="11">
        <f>C39/C38-1</f>
        <v/>
      </c>
    </row>
    <row r="40">
      <c r="A40" s="29" t="n">
        <v>45505</v>
      </c>
      <c r="B40" s="25" t="n">
        <v>114.4130706787109</v>
      </c>
      <c r="C40" s="25" t="n">
        <v>5648.39990234375</v>
      </c>
      <c r="D40" s="11">
        <f>B40/B39-1</f>
        <v/>
      </c>
      <c r="E40" s="11">
        <f>C40/C39-1</f>
        <v/>
      </c>
    </row>
    <row r="41">
      <c r="A41" s="29" t="n">
        <v>45536</v>
      </c>
      <c r="B41" s="25" t="n">
        <v>114.6765060424805</v>
      </c>
      <c r="C41" s="25" t="n">
        <v>5762.47998046875</v>
      </c>
      <c r="D41" s="11">
        <f>B41/B40-1</f>
        <v/>
      </c>
      <c r="E41" s="11">
        <f>C41/C40-1</f>
        <v/>
      </c>
    </row>
    <row r="42">
      <c r="A42" s="29" t="n">
        <v>45566</v>
      </c>
      <c r="B42" s="25" t="n">
        <v>110.2763748168945</v>
      </c>
      <c r="C42" s="25" t="n">
        <v>5705.4501953125</v>
      </c>
      <c r="D42" s="11">
        <f>B42/B41-1</f>
        <v/>
      </c>
      <c r="E42" s="11">
        <f>C42/C41-1</f>
        <v/>
      </c>
    </row>
    <row r="43">
      <c r="A43" s="29" t="n">
        <v>45597</v>
      </c>
      <c r="B43" s="25" t="n">
        <v>123.0087661743164</v>
      </c>
      <c r="C43" s="25" t="n">
        <v>6032.3798828125</v>
      </c>
      <c r="D43" s="11">
        <f>B43/B42-1</f>
        <v/>
      </c>
      <c r="E43" s="11">
        <f>C43/C42-1</f>
        <v/>
      </c>
    </row>
    <row r="44">
      <c r="A44" s="29" t="n">
        <v>45627</v>
      </c>
      <c r="B44" s="25" t="n">
        <v>118.2328796386719</v>
      </c>
      <c r="C44" s="25" t="n">
        <v>5881.6298828125</v>
      </c>
      <c r="D44" s="11">
        <f>B44/B43-1</f>
        <v/>
      </c>
      <c r="E44" s="11">
        <f>C44/C43-1</f>
        <v/>
      </c>
    </row>
    <row r="45">
      <c r="A45" s="29" t="n">
        <v>45658</v>
      </c>
      <c r="B45" s="25" t="n">
        <v>122.1279678344727</v>
      </c>
      <c r="C45" s="25" t="n">
        <v>6040.52978515625</v>
      </c>
      <c r="D45" s="11">
        <f>B45/B44-1</f>
        <v/>
      </c>
      <c r="E45" s="11">
        <f>C45/C44-1</f>
        <v/>
      </c>
    </row>
    <row r="46">
      <c r="A46" s="29" t="n">
        <v>45689</v>
      </c>
      <c r="B46" s="25" t="n">
        <v>122.4677505493164</v>
      </c>
      <c r="C46" s="25" t="n">
        <v>5954.5</v>
      </c>
      <c r="D46" s="11">
        <f>B46/B45-1</f>
        <v/>
      </c>
      <c r="E46" s="11">
        <f>C46/C45-1</f>
        <v/>
      </c>
    </row>
    <row r="47">
      <c r="A47" s="29" t="n">
        <v>45717</v>
      </c>
      <c r="B47" s="25" t="n">
        <v>119.5621337890625</v>
      </c>
      <c r="C47" s="25" t="n">
        <v>5611.85009765625</v>
      </c>
      <c r="D47" s="11">
        <f>B47/B46-1</f>
        <v/>
      </c>
      <c r="E47" s="11">
        <f>C47/C46-1</f>
        <v/>
      </c>
    </row>
    <row r="48">
      <c r="A48" s="29" t="n">
        <v>45748</v>
      </c>
      <c r="B48" s="25" t="n">
        <v>126.3157196044922</v>
      </c>
      <c r="C48" s="25" t="n">
        <v>5569.06005859375</v>
      </c>
      <c r="D48" s="11">
        <f>B48/B47-1</f>
        <v/>
      </c>
      <c r="E48" s="11">
        <f>C48/C47-1</f>
        <v/>
      </c>
    </row>
    <row r="49">
      <c r="A49" s="29" t="n">
        <v>45778</v>
      </c>
      <c r="B49" s="25" t="n">
        <v>124.9731063842773</v>
      </c>
      <c r="C49" s="25" t="n">
        <v>5911.68994140625</v>
      </c>
      <c r="D49" s="11">
        <f>B49/B48-1</f>
        <v/>
      </c>
      <c r="E49" s="11">
        <f>C49/C48-1</f>
        <v/>
      </c>
    </row>
    <row r="50">
      <c r="A50" s="29" t="n">
        <v>45809</v>
      </c>
      <c r="B50" s="25" t="n">
        <v>121.6148834228516</v>
      </c>
      <c r="C50" s="25" t="n">
        <v>6204.9501953125</v>
      </c>
      <c r="D50" s="11">
        <f>B50/B49-1</f>
        <v/>
      </c>
      <c r="E50" s="11">
        <f>C50/C49-1</f>
        <v/>
      </c>
    </row>
    <row r="51">
      <c r="A51" s="29" t="n">
        <v>45839</v>
      </c>
      <c r="B51" s="25" t="n">
        <v>122.6390914916992</v>
      </c>
      <c r="C51" s="25" t="n">
        <v>6339.39013671875</v>
      </c>
      <c r="D51" s="11">
        <f>B51/B50-1</f>
        <v/>
      </c>
      <c r="E51" s="11">
        <f>C51/C50-1</f>
        <v/>
      </c>
    </row>
    <row r="52">
      <c r="A52" s="29" t="n">
        <v>45870</v>
      </c>
      <c r="B52" s="25" t="n">
        <v>134.9634094238281</v>
      </c>
      <c r="C52" s="25" t="n">
        <v>6460.259765625</v>
      </c>
      <c r="D52" s="11">
        <f>B52/B51-1</f>
        <v/>
      </c>
      <c r="E52" s="11">
        <f>C52/C51-1</f>
        <v/>
      </c>
    </row>
    <row r="53">
      <c r="A53" s="29" t="n">
        <v>45901</v>
      </c>
      <c r="B53" s="25" t="n">
        <v>142.7978057861328</v>
      </c>
      <c r="C53" s="25" t="n">
        <v>6688.4599609375</v>
      </c>
      <c r="D53" s="11">
        <f>B53/B52-1</f>
        <v/>
      </c>
      <c r="E53" s="11">
        <f>C53/C52-1</f>
        <v/>
      </c>
    </row>
    <row r="54">
      <c r="A54" s="29" t="n">
        <v>45931</v>
      </c>
      <c r="B54" s="25" t="n">
        <v>138.4508514404297</v>
      </c>
      <c r="C54" s="25" t="n">
        <v>6840.2001953125</v>
      </c>
      <c r="D54" s="11">
        <f>B54/B53-1</f>
        <v/>
      </c>
      <c r="E54" s="11">
        <f>C54/C53-1</f>
        <v/>
      </c>
    </row>
    <row r="55">
      <c r="A55" s="29" t="n">
        <v>45962</v>
      </c>
      <c r="B55" s="25" t="n">
        <v>150.5222015380859</v>
      </c>
      <c r="C55" s="25" t="n">
        <v>6849.08984375</v>
      </c>
      <c r="D55" s="11">
        <f>B55/B54-1</f>
        <v/>
      </c>
      <c r="E55" s="11">
        <f>C55/C54-1</f>
        <v/>
      </c>
    </row>
    <row r="56">
      <c r="A56" s="29" t="n">
        <v>45992</v>
      </c>
      <c r="B56" s="25" t="n">
        <v>152.1966552734375</v>
      </c>
      <c r="C56" s="25" t="n">
        <v>6845.5</v>
      </c>
      <c r="D56" s="11">
        <f>B56/B55-1</f>
        <v/>
      </c>
      <c r="E56" s="11">
        <f>C56/C55-1</f>
        <v/>
      </c>
    </row>
    <row r="57">
      <c r="A57" s="29" t="n">
        <v>46023</v>
      </c>
      <c r="B57" s="25" t="n">
        <v>148.4316101074219</v>
      </c>
      <c r="C57" s="25" t="n">
        <v>6939.02978515625</v>
      </c>
      <c r="D57" s="11">
        <f>B57/B56-1</f>
        <v/>
      </c>
      <c r="E57" s="11">
        <f>C57/C56-1</f>
        <v/>
      </c>
    </row>
    <row r="58">
      <c r="A58" s="29" t="n">
        <v>46054</v>
      </c>
      <c r="B58" s="25" t="n">
        <v>160.6254272460938</v>
      </c>
      <c r="C58" s="25" t="n">
        <v>6878.8798828125</v>
      </c>
      <c r="D58" s="11">
        <f>B58/B57-1</f>
        <v/>
      </c>
      <c r="E58" s="11">
        <f>C58/C57-1</f>
        <v/>
      </c>
    </row>
    <row r="59">
      <c r="A59" s="29" t="n">
        <v>46082</v>
      </c>
      <c r="B59" s="25" t="n">
        <v>158.6779632568359</v>
      </c>
      <c r="C59" s="25" t="n">
        <v>6528.52001953125</v>
      </c>
      <c r="D59" s="11">
        <f>B59/B58-1</f>
        <v/>
      </c>
      <c r="E59" s="11">
        <f>C59/C58-1</f>
        <v/>
      </c>
    </row>
    <row r="60">
      <c r="A60" s="29" t="n">
        <v>46113</v>
      </c>
      <c r="B60" s="25" t="n">
        <v>155.7468414306641</v>
      </c>
      <c r="C60" s="25" t="n">
        <v>7209.009765625</v>
      </c>
      <c r="D60" s="11">
        <f>B60/B59-1</f>
        <v/>
      </c>
      <c r="E60" s="11">
        <f>C60/C59-1</f>
        <v/>
      </c>
    </row>
    <row r="61">
      <c r="A61" s="29" t="n">
        <v>46143</v>
      </c>
      <c r="B61" s="25" t="n">
        <v>154.2632751464844</v>
      </c>
      <c r="C61" s="25" t="n">
        <v>7580.06005859375</v>
      </c>
      <c r="D61" s="11">
        <f>B61/B60-1</f>
        <v/>
      </c>
      <c r="E61" s="11">
        <f>C61/C60-1</f>
        <v/>
      </c>
    </row>
    <row r="62">
      <c r="A62" s="29" t="n">
        <v>46174</v>
      </c>
      <c r="B62" s="25" t="n">
        <v>151.0234832763672</v>
      </c>
      <c r="C62" s="25" t="n">
        <v>7499.35986328125</v>
      </c>
      <c r="D62" s="11">
        <f>B62/B61-1</f>
        <v/>
      </c>
      <c r="E62" s="11">
        <f>C62/C61-1</f>
        <v/>
      </c>
    </row>
    <row r="63">
      <c r="A63" s="29" t="n">
        <v>46204</v>
      </c>
      <c r="B63" s="25" t="n">
        <v>156.8451232910156</v>
      </c>
      <c r="C63" s="25" t="n">
        <v>7489.72021484375</v>
      </c>
      <c r="D63" s="11">
        <f>B63/B62-1</f>
        <v/>
      </c>
      <c r="E63" s="11">
        <f>C63/C62-1</f>
        <v/>
      </c>
    </row>
    <row r="64">
      <c r="A64" s="29" t="n">
        <v>46235</v>
      </c>
      <c r="B64" s="25" t="n">
        <v>133.9100036621094</v>
      </c>
      <c r="C64" s="25" t="n">
        <v>7686.14013671875</v>
      </c>
      <c r="D64" s="11">
        <f>B64/B63-1</f>
        <v/>
      </c>
      <c r="E64" s="11">
        <f>C64/C63-1</f>
        <v/>
      </c>
    </row>
    <row r="65">
      <c r="A65" s="29" t="n">
        <v>46266</v>
      </c>
      <c r="B65" s="25" t="n">
        <v>132.3099975585938</v>
      </c>
      <c r="C65" s="25" t="n">
        <v>7651.5400390625</v>
      </c>
      <c r="D65" s="11">
        <f>B65/B64-1</f>
        <v/>
      </c>
      <c r="E65" s="11">
        <f>C65/C64-1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9" customWidth="1" min="3" max="3"/>
    <col width="11" customWidth="1" min="4" max="4"/>
    <col width="11" customWidth="1" min="5" max="5"/>
    <col width="12" customWidth="1" min="6" max="6"/>
    <col width="10" customWidth="1" min="7" max="7"/>
    <col width="11" customWidth="1" min="8" max="8"/>
    <col width="8" customWidth="1" min="9" max="9"/>
    <col width="15" customWidth="1" min="10" max="10"/>
    <col width="11" customWidth="1" min="11" max="11"/>
    <col width="14" customWidth="1" min="12" max="12"/>
    <col width="12" customWidth="1" min="13" max="13"/>
    <col width="9" customWidth="1" min="14" max="14"/>
  </cols>
  <sheetData>
    <row r="1">
      <c r="A1" s="1" t="inlineStr">
        <is>
          <t>Trading comparables (last fiscal year; prices as of the valuation date)</t>
        </is>
      </c>
    </row>
    <row r="2">
      <c r="A2" t="inlineStr">
        <is>
          <t>EV = market cap + debt - cash - ST investments + NCI (latest 10-K/10-Q). EBITDA = EBIT + D&amp;A and EPS = diluted EPS, both from the latest 10-K. $ millions.</t>
        </is>
      </c>
    </row>
    <row r="4">
      <c r="A4" s="2" t="inlineStr">
        <is>
          <t>Ticker</t>
        </is>
      </c>
      <c r="B4" s="2" t="inlineStr">
        <is>
          <t>Company</t>
        </is>
      </c>
      <c r="C4" s="2" t="inlineStr">
        <is>
          <t>FY</t>
        </is>
      </c>
      <c r="D4" s="2" t="inlineStr">
        <is>
          <t>Price ($)</t>
        </is>
      </c>
      <c r="E4" s="2" t="inlineStr">
        <is>
          <t>Shares (m)</t>
        </is>
      </c>
      <c r="F4" s="2" t="inlineStr">
        <is>
          <t>Market cap</t>
        </is>
      </c>
      <c r="G4" s="2" t="inlineStr">
        <is>
          <t>Debt</t>
        </is>
      </c>
      <c r="H4" s="2" t="inlineStr">
        <is>
          <t>Cash + STI</t>
        </is>
      </c>
      <c r="I4" s="2" t="inlineStr">
        <is>
          <t>NCI</t>
        </is>
      </c>
      <c r="J4" s="2" t="inlineStr">
        <is>
          <t>Enterprise value</t>
        </is>
      </c>
      <c r="K4" s="2" t="inlineStr">
        <is>
          <t>EBITDA</t>
        </is>
      </c>
      <c r="L4" s="2" t="inlineStr">
        <is>
          <t>Diluted EPS ($)</t>
        </is>
      </c>
      <c r="M4" s="2" t="inlineStr">
        <is>
          <t>EV / EBITDA</t>
        </is>
      </c>
      <c r="N4" s="2" t="inlineStr">
        <is>
          <t>P / E</t>
        </is>
      </c>
    </row>
    <row r="5">
      <c r="A5" t="inlineStr">
        <is>
          <t>ROST</t>
        </is>
      </c>
      <c r="B5" t="inlineStr">
        <is>
          <t>ROSS STORES, INC.</t>
        </is>
      </c>
      <c r="C5" t="inlineStr">
        <is>
          <t>FY2026</t>
        </is>
      </c>
      <c r="D5" s="18" t="n">
        <v>230.09</v>
      </c>
      <c r="E5" s="19" t="n">
        <v>319.45311</v>
      </c>
      <c r="F5" s="14">
        <f>D5*E5</f>
        <v/>
      </c>
      <c r="G5" s="20" t="n">
        <v>1018.512</v>
      </c>
      <c r="H5" s="20" t="n">
        <v>4288.124</v>
      </c>
      <c r="I5" s="20" t="n">
        <v>0</v>
      </c>
      <c r="J5" s="14">
        <f>F5+G5-H5+I5</f>
        <v/>
      </c>
      <c r="K5" s="20" t="n">
        <v>3216.748</v>
      </c>
      <c r="L5" s="18" t="n">
        <v>6.61</v>
      </c>
      <c r="M5" s="13">
        <f>IF(K5&gt;0,J5/K5,NA())</f>
        <v/>
      </c>
      <c r="N5" s="13">
        <f>IF(L5&gt;0,D5/L5,NA())</f>
        <v/>
      </c>
    </row>
    <row r="6">
      <c r="A6" t="inlineStr">
        <is>
          <t>BURL</t>
        </is>
      </c>
      <c r="B6" t="inlineStr">
        <is>
          <t>Burlington Stores, Inc.</t>
        </is>
      </c>
      <c r="C6" t="inlineStr">
        <is>
          <t>FY2026</t>
        </is>
      </c>
      <c r="D6" s="18" t="n">
        <v>235.15</v>
      </c>
      <c r="E6" s="19" t="n">
        <v>62.815195</v>
      </c>
      <c r="F6" s="14">
        <f>D6*E6</f>
        <v/>
      </c>
      <c r="G6" s="20" t="n">
        <v>1913.555</v>
      </c>
      <c r="H6" s="20" t="n">
        <v>703.686</v>
      </c>
      <c r="I6" s="20" t="n">
        <v>0</v>
      </c>
      <c r="J6" s="14">
        <f>F6+G6-H6+I6</f>
        <v/>
      </c>
      <c r="K6" s="20" t="n">
        <v>1284.126</v>
      </c>
      <c r="L6" s="18" t="n">
        <v>9.51</v>
      </c>
      <c r="M6" s="13">
        <f>IF(K6&gt;0,J6/K6,NA())</f>
        <v/>
      </c>
      <c r="N6" s="13">
        <f>IF(L6&gt;0,D6/L6,NA())</f>
        <v/>
      </c>
    </row>
    <row r="7">
      <c r="A7" t="inlineStr">
        <is>
          <t>OLLI</t>
        </is>
      </c>
      <c r="B7" t="inlineStr">
        <is>
          <t>Ollie's Bargain Outlet Holdings, Inc.</t>
        </is>
      </c>
      <c r="C7" t="inlineStr">
        <is>
          <t>FY2026</t>
        </is>
      </c>
      <c r="D7" s="18" t="n">
        <v>84.72</v>
      </c>
      <c r="E7" s="19" t="n">
        <v>59.402403</v>
      </c>
      <c r="F7" s="14">
        <f>D7*E7</f>
        <v/>
      </c>
      <c r="G7" s="20" t="n">
        <v>2.229</v>
      </c>
      <c r="H7" s="20" t="n">
        <v>120.765</v>
      </c>
      <c r="I7" s="20" t="n">
        <v>0</v>
      </c>
      <c r="J7" s="14">
        <f>F7+G7-H7+I7</f>
        <v/>
      </c>
      <c r="K7" s="20" t="n">
        <v>352.865</v>
      </c>
      <c r="L7" s="18" t="n">
        <v>3.89</v>
      </c>
      <c r="M7" s="13">
        <f>IF(K7&gt;0,J7/K7,NA())</f>
        <v/>
      </c>
      <c r="N7" s="13">
        <f>IF(L7&gt;0,D7/L7,NA())</f>
        <v/>
      </c>
    </row>
    <row r="8">
      <c r="A8" t="inlineStr">
        <is>
          <t>TGT</t>
        </is>
      </c>
      <c r="B8" t="inlineStr">
        <is>
          <t>TARGET CORP</t>
        </is>
      </c>
      <c r="C8" t="inlineStr">
        <is>
          <t>FY2026</t>
        </is>
      </c>
      <c r="D8" s="18" t="n">
        <v>148.01</v>
      </c>
      <c r="E8" s="19" t="n">
        <v>454.296736</v>
      </c>
      <c r="F8" s="14">
        <f>D8*E8</f>
        <v/>
      </c>
      <c r="G8" s="20" t="n">
        <v>15357</v>
      </c>
      <c r="H8" s="20" t="n">
        <v>5411</v>
      </c>
      <c r="I8" s="20" t="n">
        <v>0</v>
      </c>
      <c r="J8" s="14">
        <f>F8+G8-H8+I8</f>
        <v/>
      </c>
      <c r="K8" s="20" t="n">
        <v>8251</v>
      </c>
      <c r="L8" s="18" t="n">
        <v>8.130000000000001</v>
      </c>
      <c r="M8" s="13">
        <f>IF(K8&gt;0,J8/K8,NA())</f>
        <v/>
      </c>
      <c r="N8" s="13">
        <f>IF(L8&gt;0,D8/L8,NA())</f>
        <v/>
      </c>
    </row>
    <row r="9">
      <c r="A9" t="inlineStr">
        <is>
          <t>DG</t>
        </is>
      </c>
      <c r="B9" t="inlineStr">
        <is>
          <t>DOLLAR GENERAL CORP</t>
        </is>
      </c>
      <c r="C9" t="inlineStr">
        <is>
          <t>FY2026</t>
        </is>
      </c>
      <c r="D9" s="18" t="n">
        <v>126.86</v>
      </c>
      <c r="E9" s="19" t="n">
        <v>220.61679</v>
      </c>
      <c r="F9" s="14">
        <f>D9*E9</f>
        <v/>
      </c>
      <c r="G9" s="20" t="n">
        <v>4570.815</v>
      </c>
      <c r="H9" s="20" t="n">
        <v>1589.59</v>
      </c>
      <c r="I9" s="20" t="n">
        <v>0</v>
      </c>
      <c r="J9" s="14">
        <f>F9+G9-H9+I9</f>
        <v/>
      </c>
      <c r="K9" s="20" t="n">
        <v>3249.986</v>
      </c>
      <c r="L9" s="18" t="n">
        <v>6.85</v>
      </c>
      <c r="M9" s="13">
        <f>IF(K9&gt;0,J9/K9,NA())</f>
        <v/>
      </c>
      <c r="N9" s="13">
        <f>IF(L9&gt;0,D9/L9,NA())</f>
        <v/>
      </c>
    </row>
    <row r="10">
      <c r="B10" s="9" t="inlineStr">
        <is>
          <t>Peer median</t>
        </is>
      </c>
      <c r="M10" s="30">
        <f>MEDIAN(M5:M9)</f>
        <v/>
      </c>
      <c r="N10" s="30">
        <f>MEDIAN(N5:N9)</f>
        <v/>
      </c>
    </row>
    <row r="11">
      <c r="B11" s="9" t="inlineStr">
        <is>
          <t>Peer mean</t>
        </is>
      </c>
      <c r="M11" s="30">
        <f>AVERAGE(M5:M9)</f>
        <v/>
      </c>
      <c r="N11" s="30">
        <f>AVERAGE(N5:N9)</f>
        <v/>
      </c>
    </row>
    <row r="12">
      <c r="B12" s="9" t="inlineStr">
        <is>
          <t>Peer min</t>
        </is>
      </c>
      <c r="M12" s="30">
        <f>MIN(M5:M9)</f>
        <v/>
      </c>
      <c r="N12" s="30">
        <f>MIN(N5:N9)</f>
        <v/>
      </c>
    </row>
    <row r="13">
      <c r="B13" s="9" t="inlineStr">
        <is>
          <t>Peer max</t>
        </is>
      </c>
      <c r="M13" s="30">
        <f>MAX(M5:M9)</f>
        <v/>
      </c>
      <c r="N13" s="30">
        <f>MAX(N5:N9)</f>
        <v/>
      </c>
    </row>
    <row r="14">
      <c r="A14" s="9" t="inlineStr">
        <is>
          <t>Target</t>
        </is>
      </c>
    </row>
    <row r="15">
      <c r="A15" t="inlineStr">
        <is>
          <t>TJX</t>
        </is>
      </c>
      <c r="B15" t="inlineStr">
        <is>
          <t>The TJX Companies, Inc.</t>
        </is>
      </c>
      <c r="C15" t="inlineStr">
        <is>
          <t>FY2026</t>
        </is>
      </c>
      <c r="D15" s="5">
        <f>'Inputs'!$B$7</f>
        <v/>
      </c>
      <c r="E15" s="31">
        <f>'Inputs'!$B$8</f>
        <v/>
      </c>
      <c r="F15" s="14">
        <f>D15*E15</f>
        <v/>
      </c>
      <c r="G15" s="14">
        <f>'Inputs'!$B$19</f>
        <v/>
      </c>
      <c r="H15" s="14">
        <f>'Inputs'!$B$14+'Inputs'!$B$15</f>
        <v/>
      </c>
      <c r="I15" s="14">
        <f>'Inputs'!$B$20</f>
        <v/>
      </c>
      <c r="J15" s="14">
        <f>F15+G15-H15+I15</f>
        <v/>
      </c>
      <c r="K15" s="14">
        <f>'Historicals'!$G$26</f>
        <v/>
      </c>
      <c r="L15" s="5">
        <f>'Historicals'!$G$13</f>
        <v/>
      </c>
      <c r="M15" s="13">
        <f>IF(K15&gt;0,J15/K15,NA())</f>
        <v/>
      </c>
      <c r="N15" s="13">
        <f>IF(L15&gt;0,D15/L15,NA())</f>
        <v/>
      </c>
    </row>
    <row r="18">
      <c r="A18" s="2" t="inlineStr">
        <is>
          <t>Implied value per share of target</t>
        </is>
      </c>
      <c r="D18" s="9" t="inlineStr"/>
      <c r="E18" s="9" t="inlineStr">
        <is>
          <t>Low (peer min)</t>
        </is>
      </c>
      <c r="F18" s="9" t="inlineStr">
        <is>
          <t>Median</t>
        </is>
      </c>
      <c r="G18" s="9" t="inlineStr">
        <is>
          <t>High (peer max)</t>
        </is>
      </c>
    </row>
    <row r="19">
      <c r="A19" t="inlineStr">
        <is>
          <t>From EV / EBITDA</t>
        </is>
      </c>
      <c r="E19" s="5">
        <f>(M12*K15-G15+H15-I15)/E15</f>
        <v/>
      </c>
      <c r="F19" s="5">
        <f>(M10*K15-G15+H15-I15)/E15</f>
        <v/>
      </c>
      <c r="G19" s="5">
        <f>(M13*K15-G15+H15-I15)/E15</f>
        <v/>
      </c>
    </row>
    <row r="20">
      <c r="A20" t="inlineStr">
        <is>
          <t>From P / E</t>
        </is>
      </c>
      <c r="E20" s="5">
        <f>N12*L15</f>
        <v/>
      </c>
      <c r="F20" s="5">
        <f>N10*L15</f>
        <v/>
      </c>
      <c r="G20" s="5">
        <f>N13*L15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50" customWidth="1" min="3" max="3"/>
  </cols>
  <sheetData>
    <row r="1">
      <c r="A1" s="1" t="inlineStr">
        <is>
          <t>Weighted average cost of capital</t>
        </is>
      </c>
    </row>
    <row r="3">
      <c r="A3" s="2" t="inlineStr">
        <is>
          <t>Cost of equity (CAPM)</t>
        </is>
      </c>
      <c r="B3" s="3" t="n"/>
      <c r="C3" s="3" t="n"/>
    </row>
    <row r="4">
      <c r="A4" s="4" t="inlineStr">
        <is>
          <t>Risk-free rate</t>
        </is>
      </c>
      <c r="B4" s="11">
        <f>'Inputs'!$B$23</f>
        <v/>
      </c>
      <c r="C4" s="16" t="inlineStr">
        <is>
          <t>Inputs</t>
        </is>
      </c>
    </row>
    <row r="5">
      <c r="A5" s="4" t="inlineStr">
        <is>
          <t>Levered beta (5y monthly regression)</t>
        </is>
      </c>
      <c r="B5" s="12">
        <f>'Beta'!$H$4</f>
        <v/>
      </c>
      <c r="C5" s="16" t="inlineStr">
        <is>
          <t>Beta sheet</t>
        </is>
      </c>
    </row>
    <row r="6">
      <c r="A6" s="4" t="inlineStr">
        <is>
          <t>Equity risk premium</t>
        </is>
      </c>
      <c r="B6" s="11">
        <f>'Inputs'!$B$24</f>
        <v/>
      </c>
      <c r="C6" s="16" t="inlineStr">
        <is>
          <t>Inputs (Damodaran implied ERP)</t>
        </is>
      </c>
    </row>
    <row r="7">
      <c r="A7" s="9" t="inlineStr">
        <is>
          <t>Cost of equity = Rf + Beta x ERP</t>
        </is>
      </c>
      <c r="B7" s="27">
        <f>'WACC'!$B$4+'WACC'!$B$5*'WACC'!$B$6</f>
        <v/>
      </c>
    </row>
    <row r="9">
      <c r="A9" s="2" t="inlineStr">
        <is>
          <t>Cost of debt (synthetic rating from interest coverage)</t>
        </is>
      </c>
      <c r="B9" s="3" t="n"/>
      <c r="C9" s="3" t="n"/>
    </row>
    <row r="10">
      <c r="A10" s="4" t="inlineStr">
        <is>
          <t>EBIT, last fiscal year</t>
        </is>
      </c>
      <c r="B10" s="14">
        <f>'Historicals'!$G$25</f>
        <v/>
      </c>
      <c r="C10" s="16" t="inlineStr">
        <is>
          <t>Historicals</t>
        </is>
      </c>
    </row>
    <row r="11">
      <c r="A11" s="4" t="inlineStr">
        <is>
          <t>Interest expense, last fiscal year</t>
        </is>
      </c>
      <c r="B11" s="14">
        <f>'Historicals'!$G$7</f>
        <v/>
      </c>
      <c r="C11" s="16" t="inlineStr">
        <is>
          <t>Historicals</t>
        </is>
      </c>
    </row>
    <row r="12">
      <c r="A12" s="4" t="inlineStr">
        <is>
          <t>Interest coverage (EBIT / interest)</t>
        </is>
      </c>
      <c r="B12" s="13">
        <f>IF('WACC'!$B$11&gt;0,'WACC'!$B$10/'WACC'!$B$11,100000)</f>
        <v/>
      </c>
    </row>
    <row r="13">
      <c r="A13" s="4" t="inlineStr">
        <is>
          <t>Synthetic rating</t>
        </is>
      </c>
      <c r="B13">
        <f>LOOKUP('WACC'!$B$12,'Inputs'!$A$30:$A$44,'Inputs'!$C$30:$C$44)</f>
        <v/>
      </c>
      <c r="C13" s="16" t="inlineStr">
        <is>
          <t>Damodaran coverage table (Inputs)</t>
        </is>
      </c>
    </row>
    <row r="14">
      <c r="A14" s="4" t="inlineStr">
        <is>
          <t>Default spread</t>
        </is>
      </c>
      <c r="B14" s="11">
        <f>LOOKUP('WACC'!$B$12,'Inputs'!$A$30:$A$44,'Inputs'!$D$30:$D$44)</f>
        <v/>
      </c>
    </row>
    <row r="15">
      <c r="A15" s="4" t="inlineStr">
        <is>
          <t>Pre-tax cost of debt = Rf + spread</t>
        </is>
      </c>
      <c r="B15" s="11">
        <f>'WACC'!$B$4+'WACC'!$B$14</f>
        <v/>
      </c>
    </row>
    <row r="16">
      <c r="A16" s="4" t="inlineStr">
        <is>
          <t>Tax rate (3-yr average effective)</t>
        </is>
      </c>
      <c r="B16" s="8">
        <f>'Historicals'!$H$29</f>
        <v/>
      </c>
    </row>
    <row r="17">
      <c r="A17" s="9" t="inlineStr">
        <is>
          <t>After-tax cost of debt</t>
        </is>
      </c>
      <c r="B17" s="27">
        <f>'WACC'!$B$15*(1-'WACC'!$B$16)</f>
        <v/>
      </c>
    </row>
    <row r="19">
      <c r="A19" s="2" t="inlineStr">
        <is>
          <t>Capital structure (market value of equity, book value of debt)</t>
        </is>
      </c>
      <c r="B19" s="3" t="n"/>
      <c r="C19" s="3" t="n"/>
    </row>
    <row r="20">
      <c r="A20" s="4" t="inlineStr">
        <is>
          <t>Equity market value</t>
        </is>
      </c>
      <c r="B20" s="14">
        <f>'Inputs'!$B$7*'Inputs'!$B$8</f>
        <v/>
      </c>
    </row>
    <row r="21">
      <c r="A21" s="4" t="inlineStr">
        <is>
          <t>Debt</t>
        </is>
      </c>
      <c r="B21" s="14">
        <f>'Inputs'!$B$19</f>
        <v/>
      </c>
    </row>
    <row r="22">
      <c r="A22" s="4" t="inlineStr">
        <is>
          <t>Equity weight</t>
        </is>
      </c>
      <c r="B22" s="8">
        <f>'WACC'!$B$20/('WACC'!$B$20+'WACC'!$B$21)</f>
        <v/>
      </c>
    </row>
    <row r="23">
      <c r="A23" s="4" t="inlineStr">
        <is>
          <t>Debt weight</t>
        </is>
      </c>
      <c r="B23" s="8">
        <f>'WACC'!$B$21/('WACC'!$B$20+'WACC'!$B$21)</f>
        <v/>
      </c>
    </row>
    <row r="25">
      <c r="A25" s="6" t="inlineStr">
        <is>
          <t>WACC</t>
        </is>
      </c>
      <c r="B25" s="32">
        <f>'WACC'!$B$22*'WACC'!$B$7+'WACC'!$B$23*'WACC'!$B$17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90" customWidth="1" min="3" max="3"/>
  </cols>
  <sheetData>
    <row r="1">
      <c r="A1" s="1" t="inlineStr">
        <is>
          <t>Forecast assumptions (each is a formula pointing at its source)</t>
        </is>
      </c>
    </row>
    <row r="3">
      <c r="A3" s="2" t="inlineStr">
        <is>
          <t>Revenue</t>
        </is>
      </c>
      <c r="B3" s="3" t="n"/>
      <c r="C3" s="3" t="n"/>
    </row>
    <row r="4">
      <c r="A4" s="4" t="inlineStr">
        <is>
          <t>Revenue CAGR, FY2023-FY2026</t>
        </is>
      </c>
      <c r="B4" s="11">
        <f>('Historicals'!$G$4/'Historicals'!$D$4)^(1/3)-1</f>
        <v/>
      </c>
      <c r="C4" s="16" t="inlineStr">
        <is>
          <t>Historicals</t>
        </is>
      </c>
    </row>
    <row r="5">
      <c r="A5" s="23" t="inlineStr">
        <is>
          <t>Year-1 revenue growth</t>
        </is>
      </c>
      <c r="B5" s="33">
        <f>MIN(MAX('Assumptions'!$B$4,-0.05),0.15)</f>
        <v/>
      </c>
      <c r="C5" s="16" t="inlineStr">
        <is>
          <t>Historical CAGR, bounded to [-5%, 15%]</t>
        </is>
      </c>
    </row>
    <row r="6">
      <c r="A6" s="4" t="inlineStr">
        <is>
          <t>Terminal growth</t>
        </is>
      </c>
      <c r="B6" s="11">
        <f>'Inputs'!$B$25</f>
        <v/>
      </c>
      <c r="C6" s="16" t="inlineStr">
        <is>
          <t>Inputs. Years 2-5 fade in a straight line from year-1 growth toward this rate</t>
        </is>
      </c>
    </row>
    <row r="7">
      <c r="A7" s="4" t="inlineStr">
        <is>
          <t>Projection years</t>
        </is>
      </c>
      <c r="B7" s="34" t="n">
        <v>5</v>
      </c>
    </row>
    <row r="8">
      <c r="A8" s="2" t="inlineStr">
        <is>
          <t>Margins and reinvestment (3-year averages, FY2024-FY2026)</t>
        </is>
      </c>
      <c r="B8" s="3" t="n"/>
      <c r="C8" s="3" t="n"/>
    </row>
    <row r="9">
      <c r="A9" s="23" t="inlineStr">
        <is>
          <t>EBIT margin</t>
        </is>
      </c>
      <c r="B9" s="33">
        <f>'Historicals'!$H$28</f>
        <v/>
      </c>
      <c r="C9" s="16" t="inlineStr">
        <is>
          <t>Historicals avg</t>
        </is>
      </c>
    </row>
    <row r="10">
      <c r="A10" s="4" t="inlineStr">
        <is>
          <t>Tax rate</t>
        </is>
      </c>
      <c r="B10" s="11">
        <f>'Historicals'!$H$29</f>
        <v/>
      </c>
      <c r="C10" s="16" t="inlineStr">
        <is>
          <t>Historicals avg (effective rate)</t>
        </is>
      </c>
    </row>
    <row r="11">
      <c r="A11" s="4" t="inlineStr">
        <is>
          <t>D&amp;A % of revenue</t>
        </is>
      </c>
      <c r="B11" s="11">
        <f>'Historicals'!$H$30</f>
        <v/>
      </c>
      <c r="C11" s="16" t="inlineStr">
        <is>
          <t>Historicals avg</t>
        </is>
      </c>
    </row>
    <row r="12">
      <c r="A12" s="4" t="inlineStr">
        <is>
          <t>Capex % of revenue</t>
        </is>
      </c>
      <c r="B12" s="11">
        <f>'Historicals'!$H$31</f>
        <v/>
      </c>
      <c r="C12" s="16" t="inlineStr">
        <is>
          <t>Historicals avg</t>
        </is>
      </c>
    </row>
    <row r="13">
      <c r="A13" s="4" t="inlineStr">
        <is>
          <t>NWC % of revenue</t>
        </is>
      </c>
      <c r="B13" s="11">
        <f>'Historicals'!$H$33</f>
        <v/>
      </c>
      <c r="C13" s="16" t="inlineStr">
        <is>
          <t>Historicals avg; change in NWC = NWC% x change in revenue</t>
        </is>
      </c>
    </row>
    <row r="14">
      <c r="A14" s="2" t="inlineStr">
        <is>
          <t>Discounting and terminal value</t>
        </is>
      </c>
      <c r="B14" s="3" t="n"/>
      <c r="C14" s="3" t="n"/>
    </row>
    <row r="15">
      <c r="A15" s="23" t="inlineStr">
        <is>
          <t>WACC</t>
        </is>
      </c>
      <c r="B15" s="33">
        <f>'WACC'!$B$25</f>
        <v/>
      </c>
      <c r="C15" s="16" t="inlineStr">
        <is>
          <t>WACC sheet</t>
        </is>
      </c>
    </row>
    <row r="16">
      <c r="A16" s="4" t="inlineStr">
        <is>
          <t>Exit EV/EBITDA multiple</t>
        </is>
      </c>
      <c r="B16" s="13">
        <f>'Comps'!$M$10</f>
        <v/>
      </c>
      <c r="C16" s="16" t="inlineStr">
        <is>
          <t>Peer median EV/EBITDA (Comps sheet)</t>
        </is>
      </c>
    </row>
    <row r="17">
      <c r="A17" s="4" t="inlineStr">
        <is>
          <t>Cash-flow timing</t>
        </is>
      </c>
      <c r="B17" t="inlineStr">
        <is>
          <t>mid-year</t>
        </is>
      </c>
      <c r="C17" s="16" t="inlineStr">
        <is>
          <t>Year 1 counts only the part of the fiscal year after the valuation date; terminal value discounted from the end of year 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The TJX Companies, Inc. - unlevered DCF ($ millions)</t>
        </is>
      </c>
    </row>
    <row r="3">
      <c r="A3" s="3" t="n"/>
      <c r="B3" s="2" t="inlineStr">
        <is>
          <t>FY2026A</t>
        </is>
      </c>
      <c r="C3" s="2" t="inlineStr">
        <is>
          <t>FY2027E</t>
        </is>
      </c>
      <c r="D3" s="2" t="inlineStr">
        <is>
          <t>FY2028E</t>
        </is>
      </c>
      <c r="E3" s="2" t="inlineStr">
        <is>
          <t>FY2029E</t>
        </is>
      </c>
      <c r="F3" s="2" t="inlineStr">
        <is>
          <t>FY2030E</t>
        </is>
      </c>
      <c r="G3" s="2" t="inlineStr">
        <is>
          <t>FY2031E</t>
        </is>
      </c>
    </row>
    <row r="4">
      <c r="A4" t="inlineStr">
        <is>
          <t>Year #</t>
        </is>
      </c>
      <c r="C4" s="35" t="n">
        <v>1</v>
      </c>
      <c r="D4" s="35" t="n">
        <v>2</v>
      </c>
      <c r="E4" s="35" t="n">
        <v>3</v>
      </c>
      <c r="F4" s="35" t="n">
        <v>4</v>
      </c>
      <c r="G4" s="35" t="n">
        <v>5</v>
      </c>
    </row>
    <row r="5">
      <c r="A5" t="inlineStr">
        <is>
          <t>Fiscal year end</t>
        </is>
      </c>
      <c r="B5" s="29">
        <f>'Inputs'!$B$26</f>
        <v/>
      </c>
      <c r="C5" s="29">
        <f>EDATE($B$5,12*C4)</f>
        <v/>
      </c>
      <c r="D5" s="29">
        <f>EDATE($B$5,12*D4)</f>
        <v/>
      </c>
      <c r="E5" s="29">
        <f>EDATE($B$5,12*E4)</f>
        <v/>
      </c>
      <c r="F5" s="29">
        <f>EDATE($B$5,12*F4)</f>
        <v/>
      </c>
      <c r="G5" s="29">
        <f>EDATE($B$5,12*G4)</f>
        <v/>
      </c>
    </row>
    <row r="6">
      <c r="A6" t="inlineStr">
        <is>
          <t>Revenue growth</t>
        </is>
      </c>
      <c r="C6" s="11">
        <f>'Assumptions'!$B$5+('Assumptions'!$B$6-'Assumptions'!$B$5)*(C4-1)/'Assumptions'!$B$7</f>
        <v/>
      </c>
      <c r="D6" s="11">
        <f>'Assumptions'!$B$5+('Assumptions'!$B$6-'Assumptions'!$B$5)*(D4-1)/'Assumptions'!$B$7</f>
        <v/>
      </c>
      <c r="E6" s="11">
        <f>'Assumptions'!$B$5+('Assumptions'!$B$6-'Assumptions'!$B$5)*(E4-1)/'Assumptions'!$B$7</f>
        <v/>
      </c>
      <c r="F6" s="11">
        <f>'Assumptions'!$B$5+('Assumptions'!$B$6-'Assumptions'!$B$5)*(F4-1)/'Assumptions'!$B$7</f>
        <v/>
      </c>
      <c r="G6" s="11">
        <f>'Assumptions'!$B$5+('Assumptions'!$B$6-'Assumptions'!$B$5)*(G4-1)/'Assumptions'!$B$7</f>
        <v/>
      </c>
    </row>
    <row r="7">
      <c r="A7" t="inlineStr">
        <is>
          <t>Revenue</t>
        </is>
      </c>
      <c r="B7" s="14">
        <f>'Historicals'!$G$4</f>
        <v/>
      </c>
      <c r="C7" s="14">
        <f>B7*(1+C6)</f>
        <v/>
      </c>
      <c r="D7" s="14">
        <f>C7*(1+D6)</f>
        <v/>
      </c>
      <c r="E7" s="14">
        <f>D7*(1+E6)</f>
        <v/>
      </c>
      <c r="F7" s="14">
        <f>E7*(1+F6)</f>
        <v/>
      </c>
      <c r="G7" s="14">
        <f>F7*(1+G6)</f>
        <v/>
      </c>
    </row>
    <row r="8">
      <c r="A8" t="inlineStr">
        <is>
          <t>EBIT margin</t>
        </is>
      </c>
      <c r="C8" s="11">
        <f>'Assumptions'!$B$9</f>
        <v/>
      </c>
      <c r="D8" s="11">
        <f>'Assumptions'!$B$9</f>
        <v/>
      </c>
      <c r="E8" s="11">
        <f>'Assumptions'!$B$9</f>
        <v/>
      </c>
      <c r="F8" s="11">
        <f>'Assumptions'!$B$9</f>
        <v/>
      </c>
      <c r="G8" s="11">
        <f>'Assumptions'!$B$9</f>
        <v/>
      </c>
    </row>
    <row r="9">
      <c r="A9" t="inlineStr">
        <is>
          <t>EBIT</t>
        </is>
      </c>
      <c r="C9" s="14">
        <f>C7*C8</f>
        <v/>
      </c>
      <c r="D9" s="14">
        <f>D7*D8</f>
        <v/>
      </c>
      <c r="E9" s="14">
        <f>E7*E8</f>
        <v/>
      </c>
      <c r="F9" s="14">
        <f>F7*F8</f>
        <v/>
      </c>
      <c r="G9" s="14">
        <f>G7*G8</f>
        <v/>
      </c>
    </row>
    <row r="10">
      <c r="A10" t="inlineStr">
        <is>
          <t>Tax rate</t>
        </is>
      </c>
      <c r="C10" s="11">
        <f>'Assumptions'!$B$10</f>
        <v/>
      </c>
      <c r="D10" s="11">
        <f>'Assumptions'!$B$10</f>
        <v/>
      </c>
      <c r="E10" s="11">
        <f>'Assumptions'!$B$10</f>
        <v/>
      </c>
      <c r="F10" s="11">
        <f>'Assumptions'!$B$10</f>
        <v/>
      </c>
      <c r="G10" s="11">
        <f>'Assumptions'!$B$10</f>
        <v/>
      </c>
    </row>
    <row r="11">
      <c r="A11" t="inlineStr">
        <is>
          <t>NOPAT = EBIT x (1 - tax)</t>
        </is>
      </c>
      <c r="C11" s="14">
        <f>C9*(1-C10)</f>
        <v/>
      </c>
      <c r="D11" s="14">
        <f>D9*(1-D10)</f>
        <v/>
      </c>
      <c r="E11" s="14">
        <f>E9*(1-E10)</f>
        <v/>
      </c>
      <c r="F11" s="14">
        <f>F9*(1-F10)</f>
        <v/>
      </c>
      <c r="G11" s="14">
        <f>G9*(1-G10)</f>
        <v/>
      </c>
    </row>
    <row r="12">
      <c r="A12" t="inlineStr">
        <is>
          <t>D&amp;A % of revenue</t>
        </is>
      </c>
      <c r="C12" s="11">
        <f>'Assumptions'!$B$11</f>
        <v/>
      </c>
      <c r="D12" s="11">
        <f>'Assumptions'!$B$11</f>
        <v/>
      </c>
      <c r="E12" s="11">
        <f>'Assumptions'!$B$11</f>
        <v/>
      </c>
      <c r="F12" s="11">
        <f>'Assumptions'!$B$11</f>
        <v/>
      </c>
      <c r="G12" s="11">
        <f>'Assumptions'!$B$11</f>
        <v/>
      </c>
    </row>
    <row r="13">
      <c r="A13" t="inlineStr">
        <is>
          <t>Plus: D&amp;A</t>
        </is>
      </c>
      <c r="C13" s="14">
        <f>C7*C12</f>
        <v/>
      </c>
      <c r="D13" s="14">
        <f>D7*D12</f>
        <v/>
      </c>
      <c r="E13" s="14">
        <f>E7*E12</f>
        <v/>
      </c>
      <c r="F13" s="14">
        <f>F7*F12</f>
        <v/>
      </c>
      <c r="G13" s="14">
        <f>G7*G12</f>
        <v/>
      </c>
    </row>
    <row r="14">
      <c r="A14" t="inlineStr">
        <is>
          <t>Capex % of revenue</t>
        </is>
      </c>
      <c r="C14" s="11">
        <f>'Assumptions'!$B$12</f>
        <v/>
      </c>
      <c r="D14" s="11">
        <f>'Assumptions'!$B$12</f>
        <v/>
      </c>
      <c r="E14" s="11">
        <f>'Assumptions'!$B$12</f>
        <v/>
      </c>
      <c r="F14" s="11">
        <f>'Assumptions'!$B$12</f>
        <v/>
      </c>
      <c r="G14" s="11">
        <f>'Assumptions'!$B$12</f>
        <v/>
      </c>
    </row>
    <row r="15">
      <c r="A15" t="inlineStr">
        <is>
          <t>Less: capex</t>
        </is>
      </c>
      <c r="C15" s="14">
        <f>C7*C14</f>
        <v/>
      </c>
      <c r="D15" s="14">
        <f>D7*D14</f>
        <v/>
      </c>
      <c r="E15" s="14">
        <f>E7*E14</f>
        <v/>
      </c>
      <c r="F15" s="14">
        <f>F7*F14</f>
        <v/>
      </c>
      <c r="G15" s="14">
        <f>G7*G14</f>
        <v/>
      </c>
    </row>
    <row r="16">
      <c r="A16" t="inlineStr">
        <is>
          <t>NWC % of revenue</t>
        </is>
      </c>
      <c r="C16" s="11">
        <f>'Assumptions'!$B$13</f>
        <v/>
      </c>
      <c r="D16" s="11">
        <f>'Assumptions'!$B$13</f>
        <v/>
      </c>
      <c r="E16" s="11">
        <f>'Assumptions'!$B$13</f>
        <v/>
      </c>
      <c r="F16" s="11">
        <f>'Assumptions'!$B$13</f>
        <v/>
      </c>
      <c r="G16" s="11">
        <f>'Assumptions'!$B$13</f>
        <v/>
      </c>
    </row>
    <row r="17">
      <c r="A17" t="inlineStr">
        <is>
          <t>Less: increase in NWC</t>
        </is>
      </c>
      <c r="C17" s="14">
        <f>C16*(C7-B7)</f>
        <v/>
      </c>
      <c r="D17" s="14">
        <f>D16*(D7-C7)</f>
        <v/>
      </c>
      <c r="E17" s="14">
        <f>E16*(E7-D7)</f>
        <v/>
      </c>
      <c r="F17" s="14">
        <f>F16*(F7-E7)</f>
        <v/>
      </c>
      <c r="G17" s="14">
        <f>G16*(G7-F7)</f>
        <v/>
      </c>
    </row>
    <row r="18">
      <c r="A18" s="36" t="inlineStr">
        <is>
          <t>Unlevered free cash flow</t>
        </is>
      </c>
      <c r="C18" s="37">
        <f>C11+C13-C15-C17</f>
        <v/>
      </c>
      <c r="D18" s="37">
        <f>D11+D13-D15-D17</f>
        <v/>
      </c>
      <c r="E18" s="37">
        <f>E11+E13-E15-E17</f>
        <v/>
      </c>
      <c r="F18" s="37">
        <f>F11+F13-F15-F17</f>
        <v/>
      </c>
      <c r="G18" s="37">
        <f>G11+G13-G15-G17</f>
        <v/>
      </c>
    </row>
    <row r="19">
      <c r="A19" t="inlineStr">
        <is>
          <t>EBITDA</t>
        </is>
      </c>
      <c r="C19" s="14">
        <f>C9+C13</f>
        <v/>
      </c>
      <c r="D19" s="14">
        <f>D9+D13</f>
        <v/>
      </c>
      <c r="E19" s="14">
        <f>E9+E13</f>
        <v/>
      </c>
      <c r="F19" s="14">
        <f>F9+F13</f>
        <v/>
      </c>
      <c r="G19" s="14">
        <f>G9+G13</f>
        <v/>
      </c>
    </row>
    <row r="20">
      <c r="A20" t="inlineStr"/>
    </row>
    <row r="21">
      <c r="A21" t="inlineStr">
        <is>
          <t>Share of year after valuation date</t>
        </is>
      </c>
      <c r="C21" s="12">
        <f>MAX(0,MIN(1,(C5-'Inputs'!$B$6)/365))</f>
        <v/>
      </c>
      <c r="D21" s="12" t="n">
        <v>1</v>
      </c>
      <c r="E21" s="12" t="n">
        <v>1</v>
      </c>
      <c r="F21" s="12" t="n">
        <v>1</v>
      </c>
      <c r="G21" s="12" t="n">
        <v>1</v>
      </c>
    </row>
    <row r="22">
      <c r="A22" t="inlineStr">
        <is>
          <t>Discount period (mid-year, years)</t>
        </is>
      </c>
      <c r="C22" s="12">
        <f>C21/2</f>
        <v/>
      </c>
      <c r="D22" s="12">
        <f>$C$21+(D4-1)-0.5</f>
        <v/>
      </c>
      <c r="E22" s="12">
        <f>$C$21+(E4-1)-0.5</f>
        <v/>
      </c>
      <c r="F22" s="12">
        <f>$C$21+(F4-1)-0.5</f>
        <v/>
      </c>
      <c r="G22" s="12">
        <f>$C$21+(G4-1)-0.5</f>
        <v/>
      </c>
    </row>
    <row r="23">
      <c r="A23" t="inlineStr">
        <is>
          <t>Discount factor</t>
        </is>
      </c>
      <c r="C23" s="38">
        <f>1/(1+'Assumptions'!$B$15)^C22</f>
        <v/>
      </c>
      <c r="D23" s="38">
        <f>1/(1+'Assumptions'!$B$15)^D22</f>
        <v/>
      </c>
      <c r="E23" s="38">
        <f>1/(1+'Assumptions'!$B$15)^E22</f>
        <v/>
      </c>
      <c r="F23" s="38">
        <f>1/(1+'Assumptions'!$B$15)^F22</f>
        <v/>
      </c>
      <c r="G23" s="38">
        <f>1/(1+'Assumptions'!$B$15)^G22</f>
        <v/>
      </c>
    </row>
    <row r="24">
      <c r="A24" s="9" t="inlineStr">
        <is>
          <t>PV of free cash flow</t>
        </is>
      </c>
      <c r="C24" s="21">
        <f>C18*C21*C23</f>
        <v/>
      </c>
      <c r="D24" s="21">
        <f>D18*D21*D23</f>
        <v/>
      </c>
      <c r="E24" s="21">
        <f>E18*E21*E23</f>
        <v/>
      </c>
      <c r="F24" s="21">
        <f>F18*F21*F23</f>
        <v/>
      </c>
      <c r="G24" s="21">
        <f>G18*G21*G23</f>
        <v/>
      </c>
    </row>
    <row r="26">
      <c r="A26" s="2" t="inlineStr">
        <is>
          <t>Valuation</t>
        </is>
      </c>
      <c r="B26" s="2" t="inlineStr">
        <is>
          <t>Gordon growth</t>
        </is>
      </c>
      <c r="C26" s="2" t="inlineStr">
        <is>
          <t>Exit multiple</t>
        </is>
      </c>
    </row>
    <row r="27">
      <c r="A27" t="inlineStr">
        <is>
          <t>Sum of PV of free cash flows</t>
        </is>
      </c>
      <c r="B27" s="14">
        <f>SUM(C24:G24)</f>
        <v/>
      </c>
      <c r="C27" s="14">
        <f>SUM(C24:G24)</f>
        <v/>
      </c>
    </row>
    <row r="28">
      <c r="A28" t="inlineStr">
        <is>
          <t>Terminal value (end of year 5)</t>
        </is>
      </c>
      <c r="B28" s="14">
        <f>G18*(1+'Assumptions'!$B$6)/('Assumptions'!$B$15-'Assumptions'!$B$6)</f>
        <v/>
      </c>
      <c r="C28" s="14">
        <f>G19*'Assumptions'!$B$16</f>
        <v/>
      </c>
    </row>
    <row r="29">
      <c r="A29" t="inlineStr">
        <is>
          <t>Terminal value discount period (years)</t>
        </is>
      </c>
      <c r="B29" s="12">
        <f>$C$21+(G4-1)</f>
        <v/>
      </c>
      <c r="C29" s="12">
        <f>$C$21+(G4-1)</f>
        <v/>
      </c>
    </row>
    <row r="30">
      <c r="A30" t="inlineStr">
        <is>
          <t>PV of terminal value</t>
        </is>
      </c>
      <c r="B30" s="14">
        <f>B28/(1+'Assumptions'!$B$15)^B29</f>
        <v/>
      </c>
      <c r="C30" s="14">
        <f>C28/(1+'Assumptions'!$B$15)^C29</f>
        <v/>
      </c>
    </row>
    <row r="31">
      <c r="A31" t="inlineStr">
        <is>
          <t>Enterprise value</t>
        </is>
      </c>
      <c r="B31" s="14">
        <f>B27+B30</f>
        <v/>
      </c>
      <c r="C31" s="14">
        <f>C27+C30</f>
        <v/>
      </c>
    </row>
    <row r="32">
      <c r="A32" t="inlineStr">
        <is>
          <t>Less: debt</t>
        </is>
      </c>
      <c r="B32" s="14">
        <f>-'Inputs'!$B$19</f>
        <v/>
      </c>
      <c r="C32" s="14">
        <f>-'Inputs'!$B$19</f>
        <v/>
      </c>
    </row>
    <row r="33">
      <c r="A33" t="inlineStr">
        <is>
          <t>Plus: cash and ST investments</t>
        </is>
      </c>
      <c r="B33" s="14">
        <f>'Inputs'!$B$14+'Inputs'!$B$15</f>
        <v/>
      </c>
      <c r="C33" s="14">
        <f>'Inputs'!$B$14+'Inputs'!$B$15</f>
        <v/>
      </c>
    </row>
    <row r="34">
      <c r="A34" t="inlineStr">
        <is>
          <t>Less: noncontrolling interest</t>
        </is>
      </c>
      <c r="B34" s="14">
        <f>-'Inputs'!$B$20</f>
        <v/>
      </c>
      <c r="C34" s="14">
        <f>-'Inputs'!$B$20</f>
        <v/>
      </c>
    </row>
    <row r="35">
      <c r="A35" t="inlineStr">
        <is>
          <t>Equity value</t>
        </is>
      </c>
      <c r="B35" s="14">
        <f>SUM(B31:B34)</f>
        <v/>
      </c>
      <c r="C35" s="14">
        <f>SUM(C31:C34)</f>
        <v/>
      </c>
    </row>
    <row r="36">
      <c r="A36" t="inlineStr">
        <is>
          <t>Shares outstanding (m)</t>
        </is>
      </c>
      <c r="B36" s="31">
        <f>'Inputs'!$B$8</f>
        <v/>
      </c>
      <c r="C36" s="31">
        <f>'Inputs'!$B$8</f>
        <v/>
      </c>
    </row>
    <row r="37">
      <c r="A37" t="inlineStr">
        <is>
          <t>Implied value per share ($)</t>
        </is>
      </c>
      <c r="B37" s="7">
        <f>B35/B36</f>
        <v/>
      </c>
      <c r="C37" s="7">
        <f>C35/C36</f>
        <v/>
      </c>
    </row>
    <row r="38">
      <c r="A38" t="inlineStr">
        <is>
          <t>Current share price ($)</t>
        </is>
      </c>
      <c r="B38" s="5">
        <f>'Inputs'!$B$7</f>
        <v/>
      </c>
      <c r="C38" s="5">
        <f>'Inputs'!$B$7</f>
        <v/>
      </c>
    </row>
    <row r="39">
      <c r="A39" t="inlineStr">
        <is>
          <t>Upside / (downside)</t>
        </is>
      </c>
      <c r="B39" s="8">
        <f>B37/B38-1</f>
        <v/>
      </c>
      <c r="C39" s="8">
        <f>C37/C38-1</f>
        <v/>
      </c>
    </row>
    <row r="40">
      <c r="A40" t="inlineStr">
        <is>
          <t>PV of terminal value as % of EV</t>
        </is>
      </c>
      <c r="B40" s="8">
        <f>B30/B31</f>
        <v/>
      </c>
      <c r="C40" s="8">
        <f>C30/C31</f>
        <v/>
      </c>
    </row>
    <row r="41">
      <c r="A41" t="inlineStr">
        <is>
          <t>Cross-check: implied exit multiple / implied perpetual growth</t>
        </is>
      </c>
      <c r="B41" s="13">
        <f>B28/G19</f>
        <v/>
      </c>
      <c r="C41" s="11">
        <f>(C28*'Assumptions'!$B$15-G18)/(C28+G18)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Value per share sensitivity (live formulas; projected cash flows held fixed)</t>
        </is>
      </c>
    </row>
    <row r="3">
      <c r="A3" s="9" t="inlineStr">
        <is>
          <t>Gordon growth: implied value per share ($)</t>
        </is>
      </c>
    </row>
    <row r="4">
      <c r="A4" t="inlineStr">
        <is>
          <t>WACC (rows) vs terminal growth (columns)</t>
        </is>
      </c>
    </row>
    <row r="5">
      <c r="B5" s="39">
        <f>'Inputs'!$B$25+(-0.01)</f>
        <v/>
      </c>
      <c r="C5" s="39">
        <f>'Inputs'!$B$25+(-0.005)</f>
        <v/>
      </c>
      <c r="D5" s="39">
        <f>'Inputs'!$B$25+(0.0)</f>
        <v/>
      </c>
      <c r="E5" s="39">
        <f>'Inputs'!$B$25+(0.005)</f>
        <v/>
      </c>
      <c r="F5" s="39">
        <f>'Inputs'!$B$25+(0.01)</f>
        <v/>
      </c>
    </row>
    <row r="6">
      <c r="A6" s="39">
        <f>'WACC'!$B$25+(-0.01)</f>
        <v/>
      </c>
      <c r="B6" s="5">
        <f>IF($A6&lt;=B$5,NA(),('DCF'!$C$18*'DCF'!$C$21/(1+$A6)^'DCF'!$C$22+'DCF'!$D$18*'DCF'!$D$21/(1+$A6)^'DCF'!$D$22+'DCF'!$E$18*'DCF'!$E$21/(1+$A6)^'DCF'!$E$22+'DCF'!$F$18*'DCF'!$F$21/(1+$A6)^'DCF'!$F$22+'DCF'!$G$18*'DCF'!$G$21/(1+$A6)^'DCF'!$G$22+'DCF'!$G$18*(1+B$5)/($A6-B$5)/(1+$A6)^'DCF'!$B$29-'Inputs'!$B$19+'Inputs'!$B$14+'Inputs'!$B$15-'Inputs'!$B$20)/'Inputs'!$B$8)</f>
        <v/>
      </c>
      <c r="C6" s="5">
        <f>IF($A6&lt;=C$5,NA(),('DCF'!$C$18*'DCF'!$C$21/(1+$A6)^'DCF'!$C$22+'DCF'!$D$18*'DCF'!$D$21/(1+$A6)^'DCF'!$D$22+'DCF'!$E$18*'DCF'!$E$21/(1+$A6)^'DCF'!$E$22+'DCF'!$F$18*'DCF'!$F$21/(1+$A6)^'DCF'!$F$22+'DCF'!$G$18*'DCF'!$G$21/(1+$A6)^'DCF'!$G$22+'DCF'!$G$18*(1+C$5)/($A6-C$5)/(1+$A6)^'DCF'!$B$29-'Inputs'!$B$19+'Inputs'!$B$14+'Inputs'!$B$15-'Inputs'!$B$20)/'Inputs'!$B$8)</f>
        <v/>
      </c>
      <c r="D6" s="5">
        <f>IF($A6&lt;=D$5,NA(),('DCF'!$C$18*'DCF'!$C$21/(1+$A6)^'DCF'!$C$22+'DCF'!$D$18*'DCF'!$D$21/(1+$A6)^'DCF'!$D$22+'DCF'!$E$18*'DCF'!$E$21/(1+$A6)^'DCF'!$E$22+'DCF'!$F$18*'DCF'!$F$21/(1+$A6)^'DCF'!$F$22+'DCF'!$G$18*'DCF'!$G$21/(1+$A6)^'DCF'!$G$22+'DCF'!$G$18*(1+D$5)/($A6-D$5)/(1+$A6)^'DCF'!$B$29-'Inputs'!$B$19+'Inputs'!$B$14+'Inputs'!$B$15-'Inputs'!$B$20)/'Inputs'!$B$8)</f>
        <v/>
      </c>
      <c r="E6" s="5">
        <f>IF($A6&lt;=E$5,NA(),('DCF'!$C$18*'DCF'!$C$21/(1+$A6)^'DCF'!$C$22+'DCF'!$D$18*'DCF'!$D$21/(1+$A6)^'DCF'!$D$22+'DCF'!$E$18*'DCF'!$E$21/(1+$A6)^'DCF'!$E$22+'DCF'!$F$18*'DCF'!$F$21/(1+$A6)^'DCF'!$F$22+'DCF'!$G$18*'DCF'!$G$21/(1+$A6)^'DCF'!$G$22+'DCF'!$G$18*(1+E$5)/($A6-E$5)/(1+$A6)^'DCF'!$B$29-'Inputs'!$B$19+'Inputs'!$B$14+'Inputs'!$B$15-'Inputs'!$B$20)/'Inputs'!$B$8)</f>
        <v/>
      </c>
      <c r="F6" s="5">
        <f>IF($A6&lt;=F$5,NA(),('DCF'!$C$18*'DCF'!$C$21/(1+$A6)^'DCF'!$C$22+'DCF'!$D$18*'DCF'!$D$21/(1+$A6)^'DCF'!$D$22+'DCF'!$E$18*'DCF'!$E$21/(1+$A6)^'DCF'!$E$22+'DCF'!$F$18*'DCF'!$F$21/(1+$A6)^'DCF'!$F$22+'DCF'!$G$18*'DCF'!$G$21/(1+$A6)^'DCF'!$G$22+'DCF'!$G$18*(1+F$5)/($A6-F$5)/(1+$A6)^'DCF'!$B$29-'Inputs'!$B$19+'Inputs'!$B$14+'Inputs'!$B$15-'Inputs'!$B$20)/'Inputs'!$B$8)</f>
        <v/>
      </c>
    </row>
    <row r="7">
      <c r="A7" s="39">
        <f>'WACC'!$B$25+(-0.005)</f>
        <v/>
      </c>
      <c r="B7" s="5">
        <f>IF($A7&lt;=B$5,NA(),('DCF'!$C$18*'DCF'!$C$21/(1+$A7)^'DCF'!$C$22+'DCF'!$D$18*'DCF'!$D$21/(1+$A7)^'DCF'!$D$22+'DCF'!$E$18*'DCF'!$E$21/(1+$A7)^'DCF'!$E$22+'DCF'!$F$18*'DCF'!$F$21/(1+$A7)^'DCF'!$F$22+'DCF'!$G$18*'DCF'!$G$21/(1+$A7)^'DCF'!$G$22+'DCF'!$G$18*(1+B$5)/($A7-B$5)/(1+$A7)^'DCF'!$B$29-'Inputs'!$B$19+'Inputs'!$B$14+'Inputs'!$B$15-'Inputs'!$B$20)/'Inputs'!$B$8)</f>
        <v/>
      </c>
      <c r="C7" s="5">
        <f>IF($A7&lt;=C$5,NA(),('DCF'!$C$18*'DCF'!$C$21/(1+$A7)^'DCF'!$C$22+'DCF'!$D$18*'DCF'!$D$21/(1+$A7)^'DCF'!$D$22+'DCF'!$E$18*'DCF'!$E$21/(1+$A7)^'DCF'!$E$22+'DCF'!$F$18*'DCF'!$F$21/(1+$A7)^'DCF'!$F$22+'DCF'!$G$18*'DCF'!$G$21/(1+$A7)^'DCF'!$G$22+'DCF'!$G$18*(1+C$5)/($A7-C$5)/(1+$A7)^'DCF'!$B$29-'Inputs'!$B$19+'Inputs'!$B$14+'Inputs'!$B$15-'Inputs'!$B$20)/'Inputs'!$B$8)</f>
        <v/>
      </c>
      <c r="D7" s="5">
        <f>IF($A7&lt;=D$5,NA(),('DCF'!$C$18*'DCF'!$C$21/(1+$A7)^'DCF'!$C$22+'DCF'!$D$18*'DCF'!$D$21/(1+$A7)^'DCF'!$D$22+'DCF'!$E$18*'DCF'!$E$21/(1+$A7)^'DCF'!$E$22+'DCF'!$F$18*'DCF'!$F$21/(1+$A7)^'DCF'!$F$22+'DCF'!$G$18*'DCF'!$G$21/(1+$A7)^'DCF'!$G$22+'DCF'!$G$18*(1+D$5)/($A7-D$5)/(1+$A7)^'DCF'!$B$29-'Inputs'!$B$19+'Inputs'!$B$14+'Inputs'!$B$15-'Inputs'!$B$20)/'Inputs'!$B$8)</f>
        <v/>
      </c>
      <c r="E7" s="5">
        <f>IF($A7&lt;=E$5,NA(),('DCF'!$C$18*'DCF'!$C$21/(1+$A7)^'DCF'!$C$22+'DCF'!$D$18*'DCF'!$D$21/(1+$A7)^'DCF'!$D$22+'DCF'!$E$18*'DCF'!$E$21/(1+$A7)^'DCF'!$E$22+'DCF'!$F$18*'DCF'!$F$21/(1+$A7)^'DCF'!$F$22+'DCF'!$G$18*'DCF'!$G$21/(1+$A7)^'DCF'!$G$22+'DCF'!$G$18*(1+E$5)/($A7-E$5)/(1+$A7)^'DCF'!$B$29-'Inputs'!$B$19+'Inputs'!$B$14+'Inputs'!$B$15-'Inputs'!$B$20)/'Inputs'!$B$8)</f>
        <v/>
      </c>
      <c r="F7" s="5">
        <f>IF($A7&lt;=F$5,NA(),('DCF'!$C$18*'DCF'!$C$21/(1+$A7)^'DCF'!$C$22+'DCF'!$D$18*'DCF'!$D$21/(1+$A7)^'DCF'!$D$22+'DCF'!$E$18*'DCF'!$E$21/(1+$A7)^'DCF'!$E$22+'DCF'!$F$18*'DCF'!$F$21/(1+$A7)^'DCF'!$F$22+'DCF'!$G$18*'DCF'!$G$21/(1+$A7)^'DCF'!$G$22+'DCF'!$G$18*(1+F$5)/($A7-F$5)/(1+$A7)^'DCF'!$B$29-'Inputs'!$B$19+'Inputs'!$B$14+'Inputs'!$B$15-'Inputs'!$B$20)/'Inputs'!$B$8)</f>
        <v/>
      </c>
    </row>
    <row r="8">
      <c r="A8" s="39">
        <f>'WACC'!$B$25+(0.0)</f>
        <v/>
      </c>
      <c r="B8" s="5">
        <f>IF($A8&lt;=B$5,NA(),('DCF'!$C$18*'DCF'!$C$21/(1+$A8)^'DCF'!$C$22+'DCF'!$D$18*'DCF'!$D$21/(1+$A8)^'DCF'!$D$22+'DCF'!$E$18*'DCF'!$E$21/(1+$A8)^'DCF'!$E$22+'DCF'!$F$18*'DCF'!$F$21/(1+$A8)^'DCF'!$F$22+'DCF'!$G$18*'DCF'!$G$21/(1+$A8)^'DCF'!$G$22+'DCF'!$G$18*(1+B$5)/($A8-B$5)/(1+$A8)^'DCF'!$B$29-'Inputs'!$B$19+'Inputs'!$B$14+'Inputs'!$B$15-'Inputs'!$B$20)/'Inputs'!$B$8)</f>
        <v/>
      </c>
      <c r="C8" s="5">
        <f>IF($A8&lt;=C$5,NA(),('DCF'!$C$18*'DCF'!$C$21/(1+$A8)^'DCF'!$C$22+'DCF'!$D$18*'DCF'!$D$21/(1+$A8)^'DCF'!$D$22+'DCF'!$E$18*'DCF'!$E$21/(1+$A8)^'DCF'!$E$22+'DCF'!$F$18*'DCF'!$F$21/(1+$A8)^'DCF'!$F$22+'DCF'!$G$18*'DCF'!$G$21/(1+$A8)^'DCF'!$G$22+'DCF'!$G$18*(1+C$5)/($A8-C$5)/(1+$A8)^'DCF'!$B$29-'Inputs'!$B$19+'Inputs'!$B$14+'Inputs'!$B$15-'Inputs'!$B$20)/'Inputs'!$B$8)</f>
        <v/>
      </c>
      <c r="D8" s="7">
        <f>IF($A8&lt;=D$5,NA(),('DCF'!$C$18*'DCF'!$C$21/(1+$A8)^'DCF'!$C$22+'DCF'!$D$18*'DCF'!$D$21/(1+$A8)^'DCF'!$D$22+'DCF'!$E$18*'DCF'!$E$21/(1+$A8)^'DCF'!$E$22+'DCF'!$F$18*'DCF'!$F$21/(1+$A8)^'DCF'!$F$22+'DCF'!$G$18*'DCF'!$G$21/(1+$A8)^'DCF'!$G$22+'DCF'!$G$18*(1+D$5)/($A8-D$5)/(1+$A8)^'DCF'!$B$29-'Inputs'!$B$19+'Inputs'!$B$14+'Inputs'!$B$15-'Inputs'!$B$20)/'Inputs'!$B$8)</f>
        <v/>
      </c>
      <c r="E8" s="5">
        <f>IF($A8&lt;=E$5,NA(),('DCF'!$C$18*'DCF'!$C$21/(1+$A8)^'DCF'!$C$22+'DCF'!$D$18*'DCF'!$D$21/(1+$A8)^'DCF'!$D$22+'DCF'!$E$18*'DCF'!$E$21/(1+$A8)^'DCF'!$E$22+'DCF'!$F$18*'DCF'!$F$21/(1+$A8)^'DCF'!$F$22+'DCF'!$G$18*'DCF'!$G$21/(1+$A8)^'DCF'!$G$22+'DCF'!$G$18*(1+E$5)/($A8-E$5)/(1+$A8)^'DCF'!$B$29-'Inputs'!$B$19+'Inputs'!$B$14+'Inputs'!$B$15-'Inputs'!$B$20)/'Inputs'!$B$8)</f>
        <v/>
      </c>
      <c r="F8" s="5">
        <f>IF($A8&lt;=F$5,NA(),('DCF'!$C$18*'DCF'!$C$21/(1+$A8)^'DCF'!$C$22+'DCF'!$D$18*'DCF'!$D$21/(1+$A8)^'DCF'!$D$22+'DCF'!$E$18*'DCF'!$E$21/(1+$A8)^'DCF'!$E$22+'DCF'!$F$18*'DCF'!$F$21/(1+$A8)^'DCF'!$F$22+'DCF'!$G$18*'DCF'!$G$21/(1+$A8)^'DCF'!$G$22+'DCF'!$G$18*(1+F$5)/($A8-F$5)/(1+$A8)^'DCF'!$B$29-'Inputs'!$B$19+'Inputs'!$B$14+'Inputs'!$B$15-'Inputs'!$B$20)/'Inputs'!$B$8)</f>
        <v/>
      </c>
    </row>
    <row r="9">
      <c r="A9" s="39">
        <f>'WACC'!$B$25+(0.005)</f>
        <v/>
      </c>
      <c r="B9" s="5">
        <f>IF($A9&lt;=B$5,NA(),('DCF'!$C$18*'DCF'!$C$21/(1+$A9)^'DCF'!$C$22+'DCF'!$D$18*'DCF'!$D$21/(1+$A9)^'DCF'!$D$22+'DCF'!$E$18*'DCF'!$E$21/(1+$A9)^'DCF'!$E$22+'DCF'!$F$18*'DCF'!$F$21/(1+$A9)^'DCF'!$F$22+'DCF'!$G$18*'DCF'!$G$21/(1+$A9)^'DCF'!$G$22+'DCF'!$G$18*(1+B$5)/($A9-B$5)/(1+$A9)^'DCF'!$B$29-'Inputs'!$B$19+'Inputs'!$B$14+'Inputs'!$B$15-'Inputs'!$B$20)/'Inputs'!$B$8)</f>
        <v/>
      </c>
      <c r="C9" s="5">
        <f>IF($A9&lt;=C$5,NA(),('DCF'!$C$18*'DCF'!$C$21/(1+$A9)^'DCF'!$C$22+'DCF'!$D$18*'DCF'!$D$21/(1+$A9)^'DCF'!$D$22+'DCF'!$E$18*'DCF'!$E$21/(1+$A9)^'DCF'!$E$22+'DCF'!$F$18*'DCF'!$F$21/(1+$A9)^'DCF'!$F$22+'DCF'!$G$18*'DCF'!$G$21/(1+$A9)^'DCF'!$G$22+'DCF'!$G$18*(1+C$5)/($A9-C$5)/(1+$A9)^'DCF'!$B$29-'Inputs'!$B$19+'Inputs'!$B$14+'Inputs'!$B$15-'Inputs'!$B$20)/'Inputs'!$B$8)</f>
        <v/>
      </c>
      <c r="D9" s="5">
        <f>IF($A9&lt;=D$5,NA(),('DCF'!$C$18*'DCF'!$C$21/(1+$A9)^'DCF'!$C$22+'DCF'!$D$18*'DCF'!$D$21/(1+$A9)^'DCF'!$D$22+'DCF'!$E$18*'DCF'!$E$21/(1+$A9)^'DCF'!$E$22+'DCF'!$F$18*'DCF'!$F$21/(1+$A9)^'DCF'!$F$22+'DCF'!$G$18*'DCF'!$G$21/(1+$A9)^'DCF'!$G$22+'DCF'!$G$18*(1+D$5)/($A9-D$5)/(1+$A9)^'DCF'!$B$29-'Inputs'!$B$19+'Inputs'!$B$14+'Inputs'!$B$15-'Inputs'!$B$20)/'Inputs'!$B$8)</f>
        <v/>
      </c>
      <c r="E9" s="5">
        <f>IF($A9&lt;=E$5,NA(),('DCF'!$C$18*'DCF'!$C$21/(1+$A9)^'DCF'!$C$22+'DCF'!$D$18*'DCF'!$D$21/(1+$A9)^'DCF'!$D$22+'DCF'!$E$18*'DCF'!$E$21/(1+$A9)^'DCF'!$E$22+'DCF'!$F$18*'DCF'!$F$21/(1+$A9)^'DCF'!$F$22+'DCF'!$G$18*'DCF'!$G$21/(1+$A9)^'DCF'!$G$22+'DCF'!$G$18*(1+E$5)/($A9-E$5)/(1+$A9)^'DCF'!$B$29-'Inputs'!$B$19+'Inputs'!$B$14+'Inputs'!$B$15-'Inputs'!$B$20)/'Inputs'!$B$8)</f>
        <v/>
      </c>
      <c r="F9" s="5">
        <f>IF($A9&lt;=F$5,NA(),('DCF'!$C$18*'DCF'!$C$21/(1+$A9)^'DCF'!$C$22+'DCF'!$D$18*'DCF'!$D$21/(1+$A9)^'DCF'!$D$22+'DCF'!$E$18*'DCF'!$E$21/(1+$A9)^'DCF'!$E$22+'DCF'!$F$18*'DCF'!$F$21/(1+$A9)^'DCF'!$F$22+'DCF'!$G$18*'DCF'!$G$21/(1+$A9)^'DCF'!$G$22+'DCF'!$G$18*(1+F$5)/($A9-F$5)/(1+$A9)^'DCF'!$B$29-'Inputs'!$B$19+'Inputs'!$B$14+'Inputs'!$B$15-'Inputs'!$B$20)/'Inputs'!$B$8)</f>
        <v/>
      </c>
    </row>
    <row r="10">
      <c r="A10" s="39">
        <f>'WACC'!$B$25+(0.01)</f>
        <v/>
      </c>
      <c r="B10" s="5">
        <f>IF($A10&lt;=B$5,NA(),('DCF'!$C$18*'DCF'!$C$21/(1+$A10)^'DCF'!$C$22+'DCF'!$D$18*'DCF'!$D$21/(1+$A10)^'DCF'!$D$22+'DCF'!$E$18*'DCF'!$E$21/(1+$A10)^'DCF'!$E$22+'DCF'!$F$18*'DCF'!$F$21/(1+$A10)^'DCF'!$F$22+'DCF'!$G$18*'DCF'!$G$21/(1+$A10)^'DCF'!$G$22+'DCF'!$G$18*(1+B$5)/($A10-B$5)/(1+$A10)^'DCF'!$B$29-'Inputs'!$B$19+'Inputs'!$B$14+'Inputs'!$B$15-'Inputs'!$B$20)/'Inputs'!$B$8)</f>
        <v/>
      </c>
      <c r="C10" s="5">
        <f>IF($A10&lt;=C$5,NA(),('DCF'!$C$18*'DCF'!$C$21/(1+$A10)^'DCF'!$C$22+'DCF'!$D$18*'DCF'!$D$21/(1+$A10)^'DCF'!$D$22+'DCF'!$E$18*'DCF'!$E$21/(1+$A10)^'DCF'!$E$22+'DCF'!$F$18*'DCF'!$F$21/(1+$A10)^'DCF'!$F$22+'DCF'!$G$18*'DCF'!$G$21/(1+$A10)^'DCF'!$G$22+'DCF'!$G$18*(1+C$5)/($A10-C$5)/(1+$A10)^'DCF'!$B$29-'Inputs'!$B$19+'Inputs'!$B$14+'Inputs'!$B$15-'Inputs'!$B$20)/'Inputs'!$B$8)</f>
        <v/>
      </c>
      <c r="D10" s="5">
        <f>IF($A10&lt;=D$5,NA(),('DCF'!$C$18*'DCF'!$C$21/(1+$A10)^'DCF'!$C$22+'DCF'!$D$18*'DCF'!$D$21/(1+$A10)^'DCF'!$D$22+'DCF'!$E$18*'DCF'!$E$21/(1+$A10)^'DCF'!$E$22+'DCF'!$F$18*'DCF'!$F$21/(1+$A10)^'DCF'!$F$22+'DCF'!$G$18*'DCF'!$G$21/(1+$A10)^'DCF'!$G$22+'DCF'!$G$18*(1+D$5)/($A10-D$5)/(1+$A10)^'DCF'!$B$29-'Inputs'!$B$19+'Inputs'!$B$14+'Inputs'!$B$15-'Inputs'!$B$20)/'Inputs'!$B$8)</f>
        <v/>
      </c>
      <c r="E10" s="5">
        <f>IF($A10&lt;=E$5,NA(),('DCF'!$C$18*'DCF'!$C$21/(1+$A10)^'DCF'!$C$22+'DCF'!$D$18*'DCF'!$D$21/(1+$A10)^'DCF'!$D$22+'DCF'!$E$18*'DCF'!$E$21/(1+$A10)^'DCF'!$E$22+'DCF'!$F$18*'DCF'!$F$21/(1+$A10)^'DCF'!$F$22+'DCF'!$G$18*'DCF'!$G$21/(1+$A10)^'DCF'!$G$22+'DCF'!$G$18*(1+E$5)/($A10-E$5)/(1+$A10)^'DCF'!$B$29-'Inputs'!$B$19+'Inputs'!$B$14+'Inputs'!$B$15-'Inputs'!$B$20)/'Inputs'!$B$8)</f>
        <v/>
      </c>
      <c r="F10" s="5">
        <f>IF($A10&lt;=F$5,NA(),('DCF'!$C$18*'DCF'!$C$21/(1+$A10)^'DCF'!$C$22+'DCF'!$D$18*'DCF'!$D$21/(1+$A10)^'DCF'!$D$22+'DCF'!$E$18*'DCF'!$E$21/(1+$A10)^'DCF'!$E$22+'DCF'!$F$18*'DCF'!$F$21/(1+$A10)^'DCF'!$F$22+'DCF'!$G$18*'DCF'!$G$21/(1+$A10)^'DCF'!$G$22+'DCF'!$G$18*(1+F$5)/($A10-F$5)/(1+$A10)^'DCF'!$B$29-'Inputs'!$B$19+'Inputs'!$B$14+'Inputs'!$B$15-'Inputs'!$B$20)/'Inputs'!$B$8)</f>
        <v/>
      </c>
    </row>
    <row r="13">
      <c r="A13" s="9" t="inlineStr">
        <is>
          <t>Exit multiple: implied value per share ($)</t>
        </is>
      </c>
    </row>
    <row r="14">
      <c r="A14" t="inlineStr">
        <is>
          <t>WACC (rows) vs exit EV/EBITDA (columns)</t>
        </is>
      </c>
    </row>
    <row r="15">
      <c r="B15" s="40">
        <f>'Comps'!$M$10+(-2)</f>
        <v/>
      </c>
      <c r="C15" s="40">
        <f>'Comps'!$M$10+(-1)</f>
        <v/>
      </c>
      <c r="D15" s="40">
        <f>'Comps'!$M$10+(0)</f>
        <v/>
      </c>
      <c r="E15" s="40">
        <f>'Comps'!$M$10+(1)</f>
        <v/>
      </c>
      <c r="F15" s="40">
        <f>'Comps'!$M$10+(2)</f>
        <v/>
      </c>
    </row>
    <row r="16">
      <c r="A16" s="39">
        <f>'WACC'!$B$25+(-0.01)</f>
        <v/>
      </c>
      <c r="B16" s="5">
        <f>('DCF'!$C$18*'DCF'!$C$21/(1+$A16)^'DCF'!$C$22+'DCF'!$D$18*'DCF'!$D$21/(1+$A16)^'DCF'!$D$22+'DCF'!$E$18*'DCF'!$E$21/(1+$A16)^'DCF'!$E$22+'DCF'!$F$18*'DCF'!$F$21/(1+$A16)^'DCF'!$F$22+'DCF'!$G$18*'DCF'!$G$21/(1+$A16)^'DCF'!$G$22+'DCF'!$G$19*B$15/(1+$A16)^'DCF'!$B$29-'Inputs'!$B$19+'Inputs'!$B$14+'Inputs'!$B$15-'Inputs'!$B$20)/'Inputs'!$B$8</f>
        <v/>
      </c>
      <c r="C16" s="5">
        <f>('DCF'!$C$18*'DCF'!$C$21/(1+$A16)^'DCF'!$C$22+'DCF'!$D$18*'DCF'!$D$21/(1+$A16)^'DCF'!$D$22+'DCF'!$E$18*'DCF'!$E$21/(1+$A16)^'DCF'!$E$22+'DCF'!$F$18*'DCF'!$F$21/(1+$A16)^'DCF'!$F$22+'DCF'!$G$18*'DCF'!$G$21/(1+$A16)^'DCF'!$G$22+'DCF'!$G$19*C$15/(1+$A16)^'DCF'!$B$29-'Inputs'!$B$19+'Inputs'!$B$14+'Inputs'!$B$15-'Inputs'!$B$20)/'Inputs'!$B$8</f>
        <v/>
      </c>
      <c r="D16" s="5">
        <f>('DCF'!$C$18*'DCF'!$C$21/(1+$A16)^'DCF'!$C$22+'DCF'!$D$18*'DCF'!$D$21/(1+$A16)^'DCF'!$D$22+'DCF'!$E$18*'DCF'!$E$21/(1+$A16)^'DCF'!$E$22+'DCF'!$F$18*'DCF'!$F$21/(1+$A16)^'DCF'!$F$22+'DCF'!$G$18*'DCF'!$G$21/(1+$A16)^'DCF'!$G$22+'DCF'!$G$19*D$15/(1+$A16)^'DCF'!$B$29-'Inputs'!$B$19+'Inputs'!$B$14+'Inputs'!$B$15-'Inputs'!$B$20)/'Inputs'!$B$8</f>
        <v/>
      </c>
      <c r="E16" s="5">
        <f>('DCF'!$C$18*'DCF'!$C$21/(1+$A16)^'DCF'!$C$22+'DCF'!$D$18*'DCF'!$D$21/(1+$A16)^'DCF'!$D$22+'DCF'!$E$18*'DCF'!$E$21/(1+$A16)^'DCF'!$E$22+'DCF'!$F$18*'DCF'!$F$21/(1+$A16)^'DCF'!$F$22+'DCF'!$G$18*'DCF'!$G$21/(1+$A16)^'DCF'!$G$22+'DCF'!$G$19*E$15/(1+$A16)^'DCF'!$B$29-'Inputs'!$B$19+'Inputs'!$B$14+'Inputs'!$B$15-'Inputs'!$B$20)/'Inputs'!$B$8</f>
        <v/>
      </c>
      <c r="F16" s="5">
        <f>('DCF'!$C$18*'DCF'!$C$21/(1+$A16)^'DCF'!$C$22+'DCF'!$D$18*'DCF'!$D$21/(1+$A16)^'DCF'!$D$22+'DCF'!$E$18*'DCF'!$E$21/(1+$A16)^'DCF'!$E$22+'DCF'!$F$18*'DCF'!$F$21/(1+$A16)^'DCF'!$F$22+'DCF'!$G$18*'DCF'!$G$21/(1+$A16)^'DCF'!$G$22+'DCF'!$G$19*F$15/(1+$A16)^'DCF'!$B$29-'Inputs'!$B$19+'Inputs'!$B$14+'Inputs'!$B$15-'Inputs'!$B$20)/'Inputs'!$B$8</f>
        <v/>
      </c>
    </row>
    <row r="17">
      <c r="A17" s="39">
        <f>'WACC'!$B$25+(-0.005)</f>
        <v/>
      </c>
      <c r="B17" s="5">
        <f>('DCF'!$C$18*'DCF'!$C$21/(1+$A17)^'DCF'!$C$22+'DCF'!$D$18*'DCF'!$D$21/(1+$A17)^'DCF'!$D$22+'DCF'!$E$18*'DCF'!$E$21/(1+$A17)^'DCF'!$E$22+'DCF'!$F$18*'DCF'!$F$21/(1+$A17)^'DCF'!$F$22+'DCF'!$G$18*'DCF'!$G$21/(1+$A17)^'DCF'!$G$22+'DCF'!$G$19*B$15/(1+$A17)^'DCF'!$B$29-'Inputs'!$B$19+'Inputs'!$B$14+'Inputs'!$B$15-'Inputs'!$B$20)/'Inputs'!$B$8</f>
        <v/>
      </c>
      <c r="C17" s="5">
        <f>('DCF'!$C$18*'DCF'!$C$21/(1+$A17)^'DCF'!$C$22+'DCF'!$D$18*'DCF'!$D$21/(1+$A17)^'DCF'!$D$22+'DCF'!$E$18*'DCF'!$E$21/(1+$A17)^'DCF'!$E$22+'DCF'!$F$18*'DCF'!$F$21/(1+$A17)^'DCF'!$F$22+'DCF'!$G$18*'DCF'!$G$21/(1+$A17)^'DCF'!$G$22+'DCF'!$G$19*C$15/(1+$A17)^'DCF'!$B$29-'Inputs'!$B$19+'Inputs'!$B$14+'Inputs'!$B$15-'Inputs'!$B$20)/'Inputs'!$B$8</f>
        <v/>
      </c>
      <c r="D17" s="5">
        <f>('DCF'!$C$18*'DCF'!$C$21/(1+$A17)^'DCF'!$C$22+'DCF'!$D$18*'DCF'!$D$21/(1+$A17)^'DCF'!$D$22+'DCF'!$E$18*'DCF'!$E$21/(1+$A17)^'DCF'!$E$22+'DCF'!$F$18*'DCF'!$F$21/(1+$A17)^'DCF'!$F$22+'DCF'!$G$18*'DCF'!$G$21/(1+$A17)^'DCF'!$G$22+'DCF'!$G$19*D$15/(1+$A17)^'DCF'!$B$29-'Inputs'!$B$19+'Inputs'!$B$14+'Inputs'!$B$15-'Inputs'!$B$20)/'Inputs'!$B$8</f>
        <v/>
      </c>
      <c r="E17" s="5">
        <f>('DCF'!$C$18*'DCF'!$C$21/(1+$A17)^'DCF'!$C$22+'DCF'!$D$18*'DCF'!$D$21/(1+$A17)^'DCF'!$D$22+'DCF'!$E$18*'DCF'!$E$21/(1+$A17)^'DCF'!$E$22+'DCF'!$F$18*'DCF'!$F$21/(1+$A17)^'DCF'!$F$22+'DCF'!$G$18*'DCF'!$G$21/(1+$A17)^'DCF'!$G$22+'DCF'!$G$19*E$15/(1+$A17)^'DCF'!$B$29-'Inputs'!$B$19+'Inputs'!$B$14+'Inputs'!$B$15-'Inputs'!$B$20)/'Inputs'!$B$8</f>
        <v/>
      </c>
      <c r="F17" s="5">
        <f>('DCF'!$C$18*'DCF'!$C$21/(1+$A17)^'DCF'!$C$22+'DCF'!$D$18*'DCF'!$D$21/(1+$A17)^'DCF'!$D$22+'DCF'!$E$18*'DCF'!$E$21/(1+$A17)^'DCF'!$E$22+'DCF'!$F$18*'DCF'!$F$21/(1+$A17)^'DCF'!$F$22+'DCF'!$G$18*'DCF'!$G$21/(1+$A17)^'DCF'!$G$22+'DCF'!$G$19*F$15/(1+$A17)^'DCF'!$B$29-'Inputs'!$B$19+'Inputs'!$B$14+'Inputs'!$B$15-'Inputs'!$B$20)/'Inputs'!$B$8</f>
        <v/>
      </c>
    </row>
    <row r="18">
      <c r="A18" s="39">
        <f>'WACC'!$B$25+(0.0)</f>
        <v/>
      </c>
      <c r="B18" s="5">
        <f>('DCF'!$C$18*'DCF'!$C$21/(1+$A18)^'DCF'!$C$22+'DCF'!$D$18*'DCF'!$D$21/(1+$A18)^'DCF'!$D$22+'DCF'!$E$18*'DCF'!$E$21/(1+$A18)^'DCF'!$E$22+'DCF'!$F$18*'DCF'!$F$21/(1+$A18)^'DCF'!$F$22+'DCF'!$G$18*'DCF'!$G$21/(1+$A18)^'DCF'!$G$22+'DCF'!$G$19*B$15/(1+$A18)^'DCF'!$B$29-'Inputs'!$B$19+'Inputs'!$B$14+'Inputs'!$B$15-'Inputs'!$B$20)/'Inputs'!$B$8</f>
        <v/>
      </c>
      <c r="C18" s="5">
        <f>('DCF'!$C$18*'DCF'!$C$21/(1+$A18)^'DCF'!$C$22+'DCF'!$D$18*'DCF'!$D$21/(1+$A18)^'DCF'!$D$22+'DCF'!$E$18*'DCF'!$E$21/(1+$A18)^'DCF'!$E$22+'DCF'!$F$18*'DCF'!$F$21/(1+$A18)^'DCF'!$F$22+'DCF'!$G$18*'DCF'!$G$21/(1+$A18)^'DCF'!$G$22+'DCF'!$G$19*C$15/(1+$A18)^'DCF'!$B$29-'Inputs'!$B$19+'Inputs'!$B$14+'Inputs'!$B$15-'Inputs'!$B$20)/'Inputs'!$B$8</f>
        <v/>
      </c>
      <c r="D18" s="7">
        <f>('DCF'!$C$18*'DCF'!$C$21/(1+$A18)^'DCF'!$C$22+'DCF'!$D$18*'DCF'!$D$21/(1+$A18)^'DCF'!$D$22+'DCF'!$E$18*'DCF'!$E$21/(1+$A18)^'DCF'!$E$22+'DCF'!$F$18*'DCF'!$F$21/(1+$A18)^'DCF'!$F$22+'DCF'!$G$18*'DCF'!$G$21/(1+$A18)^'DCF'!$G$22+'DCF'!$G$19*D$15/(1+$A18)^'DCF'!$B$29-'Inputs'!$B$19+'Inputs'!$B$14+'Inputs'!$B$15-'Inputs'!$B$20)/'Inputs'!$B$8</f>
        <v/>
      </c>
      <c r="E18" s="5">
        <f>('DCF'!$C$18*'DCF'!$C$21/(1+$A18)^'DCF'!$C$22+'DCF'!$D$18*'DCF'!$D$21/(1+$A18)^'DCF'!$D$22+'DCF'!$E$18*'DCF'!$E$21/(1+$A18)^'DCF'!$E$22+'DCF'!$F$18*'DCF'!$F$21/(1+$A18)^'DCF'!$F$22+'DCF'!$G$18*'DCF'!$G$21/(1+$A18)^'DCF'!$G$22+'DCF'!$G$19*E$15/(1+$A18)^'DCF'!$B$29-'Inputs'!$B$19+'Inputs'!$B$14+'Inputs'!$B$15-'Inputs'!$B$20)/'Inputs'!$B$8</f>
        <v/>
      </c>
      <c r="F18" s="5">
        <f>('DCF'!$C$18*'DCF'!$C$21/(1+$A18)^'DCF'!$C$22+'DCF'!$D$18*'DCF'!$D$21/(1+$A18)^'DCF'!$D$22+'DCF'!$E$18*'DCF'!$E$21/(1+$A18)^'DCF'!$E$22+'DCF'!$F$18*'DCF'!$F$21/(1+$A18)^'DCF'!$F$22+'DCF'!$G$18*'DCF'!$G$21/(1+$A18)^'DCF'!$G$22+'DCF'!$G$19*F$15/(1+$A18)^'DCF'!$B$29-'Inputs'!$B$19+'Inputs'!$B$14+'Inputs'!$B$15-'Inputs'!$B$20)/'Inputs'!$B$8</f>
        <v/>
      </c>
    </row>
    <row r="19">
      <c r="A19" s="39">
        <f>'WACC'!$B$25+(0.005)</f>
        <v/>
      </c>
      <c r="B19" s="5">
        <f>('DCF'!$C$18*'DCF'!$C$21/(1+$A19)^'DCF'!$C$22+'DCF'!$D$18*'DCF'!$D$21/(1+$A19)^'DCF'!$D$22+'DCF'!$E$18*'DCF'!$E$21/(1+$A19)^'DCF'!$E$22+'DCF'!$F$18*'DCF'!$F$21/(1+$A19)^'DCF'!$F$22+'DCF'!$G$18*'DCF'!$G$21/(1+$A19)^'DCF'!$G$22+'DCF'!$G$19*B$15/(1+$A19)^'DCF'!$B$29-'Inputs'!$B$19+'Inputs'!$B$14+'Inputs'!$B$15-'Inputs'!$B$20)/'Inputs'!$B$8</f>
        <v/>
      </c>
      <c r="C19" s="5">
        <f>('DCF'!$C$18*'DCF'!$C$21/(1+$A19)^'DCF'!$C$22+'DCF'!$D$18*'DCF'!$D$21/(1+$A19)^'DCF'!$D$22+'DCF'!$E$18*'DCF'!$E$21/(1+$A19)^'DCF'!$E$22+'DCF'!$F$18*'DCF'!$F$21/(1+$A19)^'DCF'!$F$22+'DCF'!$G$18*'DCF'!$G$21/(1+$A19)^'DCF'!$G$22+'DCF'!$G$19*C$15/(1+$A19)^'DCF'!$B$29-'Inputs'!$B$19+'Inputs'!$B$14+'Inputs'!$B$15-'Inputs'!$B$20)/'Inputs'!$B$8</f>
        <v/>
      </c>
      <c r="D19" s="5">
        <f>('DCF'!$C$18*'DCF'!$C$21/(1+$A19)^'DCF'!$C$22+'DCF'!$D$18*'DCF'!$D$21/(1+$A19)^'DCF'!$D$22+'DCF'!$E$18*'DCF'!$E$21/(1+$A19)^'DCF'!$E$22+'DCF'!$F$18*'DCF'!$F$21/(1+$A19)^'DCF'!$F$22+'DCF'!$G$18*'DCF'!$G$21/(1+$A19)^'DCF'!$G$22+'DCF'!$G$19*D$15/(1+$A19)^'DCF'!$B$29-'Inputs'!$B$19+'Inputs'!$B$14+'Inputs'!$B$15-'Inputs'!$B$20)/'Inputs'!$B$8</f>
        <v/>
      </c>
      <c r="E19" s="5">
        <f>('DCF'!$C$18*'DCF'!$C$21/(1+$A19)^'DCF'!$C$22+'DCF'!$D$18*'DCF'!$D$21/(1+$A19)^'DCF'!$D$22+'DCF'!$E$18*'DCF'!$E$21/(1+$A19)^'DCF'!$E$22+'DCF'!$F$18*'DCF'!$F$21/(1+$A19)^'DCF'!$F$22+'DCF'!$G$18*'DCF'!$G$21/(1+$A19)^'DCF'!$G$22+'DCF'!$G$19*E$15/(1+$A19)^'DCF'!$B$29-'Inputs'!$B$19+'Inputs'!$B$14+'Inputs'!$B$15-'Inputs'!$B$20)/'Inputs'!$B$8</f>
        <v/>
      </c>
      <c r="F19" s="5">
        <f>('DCF'!$C$18*'DCF'!$C$21/(1+$A19)^'DCF'!$C$22+'DCF'!$D$18*'DCF'!$D$21/(1+$A19)^'DCF'!$D$22+'DCF'!$E$18*'DCF'!$E$21/(1+$A19)^'DCF'!$E$22+'DCF'!$F$18*'DCF'!$F$21/(1+$A19)^'DCF'!$F$22+'DCF'!$G$18*'DCF'!$G$21/(1+$A19)^'DCF'!$G$22+'DCF'!$G$19*F$15/(1+$A19)^'DCF'!$B$29-'Inputs'!$B$19+'Inputs'!$B$14+'Inputs'!$B$15-'Inputs'!$B$20)/'Inputs'!$B$8</f>
        <v/>
      </c>
    </row>
    <row r="20">
      <c r="A20" s="39">
        <f>'WACC'!$B$25+(0.01)</f>
        <v/>
      </c>
      <c r="B20" s="5">
        <f>('DCF'!$C$18*'DCF'!$C$21/(1+$A20)^'DCF'!$C$22+'DCF'!$D$18*'DCF'!$D$21/(1+$A20)^'DCF'!$D$22+'DCF'!$E$18*'DCF'!$E$21/(1+$A20)^'DCF'!$E$22+'DCF'!$F$18*'DCF'!$F$21/(1+$A20)^'DCF'!$F$22+'DCF'!$G$18*'DCF'!$G$21/(1+$A20)^'DCF'!$G$22+'DCF'!$G$19*B$15/(1+$A20)^'DCF'!$B$29-'Inputs'!$B$19+'Inputs'!$B$14+'Inputs'!$B$15-'Inputs'!$B$20)/'Inputs'!$B$8</f>
        <v/>
      </c>
      <c r="C20" s="5">
        <f>('DCF'!$C$18*'DCF'!$C$21/(1+$A20)^'DCF'!$C$22+'DCF'!$D$18*'DCF'!$D$21/(1+$A20)^'DCF'!$D$22+'DCF'!$E$18*'DCF'!$E$21/(1+$A20)^'DCF'!$E$22+'DCF'!$F$18*'DCF'!$F$21/(1+$A20)^'DCF'!$F$22+'DCF'!$G$18*'DCF'!$G$21/(1+$A20)^'DCF'!$G$22+'DCF'!$G$19*C$15/(1+$A20)^'DCF'!$B$29-'Inputs'!$B$19+'Inputs'!$B$14+'Inputs'!$B$15-'Inputs'!$B$20)/'Inputs'!$B$8</f>
        <v/>
      </c>
      <c r="D20" s="5">
        <f>('DCF'!$C$18*'DCF'!$C$21/(1+$A20)^'DCF'!$C$22+'DCF'!$D$18*'DCF'!$D$21/(1+$A20)^'DCF'!$D$22+'DCF'!$E$18*'DCF'!$E$21/(1+$A20)^'DCF'!$E$22+'DCF'!$F$18*'DCF'!$F$21/(1+$A20)^'DCF'!$F$22+'DCF'!$G$18*'DCF'!$G$21/(1+$A20)^'DCF'!$G$22+'DCF'!$G$19*D$15/(1+$A20)^'DCF'!$B$29-'Inputs'!$B$19+'Inputs'!$B$14+'Inputs'!$B$15-'Inputs'!$B$20)/'Inputs'!$B$8</f>
        <v/>
      </c>
      <c r="E20" s="5">
        <f>('DCF'!$C$18*'DCF'!$C$21/(1+$A20)^'DCF'!$C$22+'DCF'!$D$18*'DCF'!$D$21/(1+$A20)^'DCF'!$D$22+'DCF'!$E$18*'DCF'!$E$21/(1+$A20)^'DCF'!$E$22+'DCF'!$F$18*'DCF'!$F$21/(1+$A20)^'DCF'!$F$22+'DCF'!$G$18*'DCF'!$G$21/(1+$A20)^'DCF'!$G$22+'DCF'!$G$19*E$15/(1+$A20)^'DCF'!$B$29-'Inputs'!$B$19+'Inputs'!$B$14+'Inputs'!$B$15-'Inputs'!$B$20)/'Inputs'!$B$8</f>
        <v/>
      </c>
      <c r="F20" s="5">
        <f>('DCF'!$C$18*'DCF'!$C$21/(1+$A20)^'DCF'!$C$22+'DCF'!$D$18*'DCF'!$D$21/(1+$A20)^'DCF'!$D$22+'DCF'!$E$18*'DCF'!$E$21/(1+$A20)^'DCF'!$E$22+'DCF'!$F$18*'DCF'!$F$21/(1+$A20)^'DCF'!$F$22+'DCF'!$G$18*'DCF'!$G$21/(1+$A20)^'DCF'!$G$22+'DCF'!$G$19*F$15/(1+$A20)^'DCF'!$B$29-'Inputs'!$B$19+'Inputs'!$B$14+'Inputs'!$B$15-'Inputs'!$B$20)/'Inputs'!$B$8</f>
        <v/>
      </c>
    </row>
    <row r="22">
      <c r="A22" t="inlineStr">
        <is>
          <t>Green text = at or above the current share price.</t>
        </is>
      </c>
    </row>
  </sheetData>
  <conditionalFormatting sqref="B6:F10">
    <cfRule type="cellIs" priority="1" operator="greaterThanOrEqual" dxfId="0">
      <formula>'Inputs'!$B$7</formula>
    </cfRule>
  </conditionalFormatting>
  <conditionalFormatting sqref="B16:F20">
    <cfRule type="cellIs" priority="2" operator="greaterThanOrEqual" dxfId="0">
      <formula>'Inputs'!$B$7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12" customWidth="1" min="4" max="4"/>
  </cols>
  <sheetData>
    <row r="1">
      <c r="A1" s="1" t="inlineStr">
        <is>
          <t>What moves the answer most (one input moved at a time, full model re-run)</t>
        </is>
      </c>
    </row>
    <row r="2">
      <c r="A2" t="inlineStr">
        <is>
          <t>Values computed by the Python model (dcf/core.py: tornado) and pasted as values; the base case ties to the DCF sheet (check below).</t>
        </is>
      </c>
    </row>
    <row r="4">
      <c r="A4" s="2" t="inlineStr">
        <is>
          <t>Driver</t>
        </is>
      </c>
      <c r="B4" s="2" t="inlineStr">
        <is>
          <t>Value at lower input ($)</t>
        </is>
      </c>
      <c r="C4" s="2" t="inlineStr">
        <is>
          <t>Value at higher input ($)</t>
        </is>
      </c>
      <c r="D4" s="2" t="inlineStr">
        <is>
          <t>Swing ($)</t>
        </is>
      </c>
    </row>
    <row r="5">
      <c r="A5" t="inlineStr">
        <is>
          <t>WACC +/- 1.0 pt</t>
        </is>
      </c>
      <c r="B5" s="5" t="n">
        <v>134.4654</v>
      </c>
      <c r="C5" s="5" t="n">
        <v>87.08799999999999</v>
      </c>
      <c r="D5" s="5" t="n">
        <v>47.3774</v>
      </c>
    </row>
    <row r="6">
      <c r="A6" t="inlineStr">
        <is>
          <t>Beta +/- 0.2</t>
        </is>
      </c>
      <c r="B6" s="5" t="n">
        <v>125.0381</v>
      </c>
      <c r="C6" s="5" t="n">
        <v>91.4344</v>
      </c>
      <c r="D6" s="5" t="n">
        <v>33.6037</v>
      </c>
    </row>
    <row r="7">
      <c r="A7" t="inlineStr">
        <is>
          <t>Terminal growth +/- 0.5 pt</t>
        </is>
      </c>
      <c r="B7" s="5" t="n">
        <v>95.7548</v>
      </c>
      <c r="C7" s="5" t="n">
        <v>117.7379</v>
      </c>
      <c r="D7" s="5" t="n">
        <v>21.9832</v>
      </c>
    </row>
    <row r="8">
      <c r="A8" t="inlineStr">
        <is>
          <t>EBIT margin +/- 1.0 pt</t>
        </is>
      </c>
      <c r="B8" s="5" t="n">
        <v>94.8541</v>
      </c>
      <c r="C8" s="5" t="n">
        <v>116.2166</v>
      </c>
      <c r="D8" s="5" t="n">
        <v>21.3625</v>
      </c>
    </row>
    <row r="9">
      <c r="A9" t="inlineStr">
        <is>
          <t>Capex % of revenue +/- 0.5 pt</t>
        </is>
      </c>
      <c r="B9" s="5" t="n">
        <v>112.6475</v>
      </c>
      <c r="C9" s="5" t="n">
        <v>98.4233</v>
      </c>
      <c r="D9" s="5" t="n">
        <v>14.2242</v>
      </c>
    </row>
    <row r="10">
      <c r="A10" t="inlineStr">
        <is>
          <t>Equity risk premium +/- 0.5 pt</t>
        </is>
      </c>
      <c r="B10" s="5" t="n">
        <v>112.1811</v>
      </c>
      <c r="C10" s="5" t="n">
        <v>99.657</v>
      </c>
      <c r="D10" s="5" t="n">
        <v>12.5241</v>
      </c>
    </row>
    <row r="11">
      <c r="A11" t="inlineStr">
        <is>
          <t>Year-1 revenue growth +/- 2.0 pts</t>
        </is>
      </c>
      <c r="B11" s="5" t="n">
        <v>99.81740000000001</v>
      </c>
      <c r="C11" s="5" t="n">
        <v>111.5062</v>
      </c>
      <c r="D11" s="5" t="n">
        <v>11.6888</v>
      </c>
    </row>
    <row r="12">
      <c r="A12" t="inlineStr">
        <is>
          <t>Tax rate +/- 2.0 pts</t>
        </is>
      </c>
      <c r="B12" s="5" t="n">
        <v>108.7388</v>
      </c>
      <c r="C12" s="5" t="n">
        <v>102.332</v>
      </c>
      <c r="D12" s="5" t="n">
        <v>6.4067</v>
      </c>
    </row>
    <row r="14">
      <c r="A14" t="inlineStr">
        <is>
          <t>Base case (Python)</t>
        </is>
      </c>
      <c r="B14" s="5" t="n">
        <v>105.535384</v>
      </c>
    </row>
    <row r="15">
      <c r="A15" t="inlineStr">
        <is>
          <t>Base case (this workbook, DCF sheet)</t>
        </is>
      </c>
      <c r="B15" s="5">
        <f>'DCF'!$B$37</f>
        <v/>
      </c>
    </row>
    <row r="16">
      <c r="A16" t="inlineStr">
        <is>
          <t>Difference</t>
        </is>
      </c>
      <c r="B16" s="38">
        <f>B15-B14</f>
        <v/>
      </c>
    </row>
    <row r="18">
      <c r="A18" s="2" t="inlineStr">
        <is>
          <t>What would have to be true to justify the current share price</t>
        </is>
      </c>
    </row>
    <row r="19">
      <c r="A19" t="inlineStr">
        <is>
          <t>(each input solved on its own, all others at base case)</t>
        </is>
      </c>
    </row>
    <row r="20">
      <c r="A20" t="inlineStr">
        <is>
          <t>WACC</t>
        </is>
      </c>
      <c r="B20" s="11" t="n">
        <v>0.058837</v>
      </c>
      <c r="C20" t="inlineStr">
        <is>
          <t>base case: 7.03%</t>
        </is>
      </c>
    </row>
    <row r="21">
      <c r="A21" t="inlineStr">
        <is>
          <t>EBIT margin</t>
        </is>
      </c>
      <c r="B21" s="11" t="n">
        <v>0.145057</v>
      </c>
      <c r="C21" t="inlineStr">
        <is>
          <t>base case: 11.26%</t>
        </is>
      </c>
    </row>
    <row r="22">
      <c r="A22" t="inlineStr">
        <is>
          <t>Terminal growth</t>
        </is>
      </c>
      <c r="B22" s="11" t="n">
        <v>0.036808</v>
      </c>
      <c r="C22" t="inlineStr">
        <is>
          <t>base case: 2.50%</t>
        </is>
      </c>
    </row>
    <row r="23">
      <c r="A23" t="inlineStr">
        <is>
          <t>Year-1 revenue growth (then fading)</t>
        </is>
      </c>
      <c r="B23" s="11" t="n">
        <v>0.171155</v>
      </c>
      <c r="C23" t="inlineStr">
        <is>
          <t>base case: 6.53%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2026-10-27T22:43:18Z</dcterms:created>
  <dcterms:modified xmlns:dcterms="http://purl.org/dc/terms/" xmlns:xsi="http://www.w3.org/2001/XMLSchema-instance" xsi:type="dcterms:W3CDTF">2026-10-27T22:43:18Z</dcterms:modified>
</cp:coreProperties>
</file>